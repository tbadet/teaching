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d4c1bfe7db36faf/Documents/2.Cours^J apprentissage/Dijon travail/annalyse/r_data_processing/xp1_analyse/rapport/phd_soybean_2021_2024/data/"/>
    </mc:Choice>
  </mc:AlternateContent>
  <xr:revisionPtr revIDLastSave="28" documentId="14_{44B44F58-5A16-4DE1-8834-EABB153EF181}" xr6:coauthVersionLast="47" xr6:coauthVersionMax="47" xr10:uidLastSave="{221B4937-A308-4AAE-B2F0-E6C6179B81B4}"/>
  <bookViews>
    <workbookView xWindow="-110" yWindow="-110" windowWidth="38620" windowHeight="21100" firstSheet="2" activeTab="13" xr2:uid="{BB4C908A-25FB-4780-B923-30DE272266A7}"/>
  </bookViews>
  <sheets>
    <sheet name="infos" sheetId="1" r:id="rId1"/>
    <sheet name="BM_for_pool" sheetId="17" r:id="rId2"/>
    <sheet name="Feuil1" sheetId="13" r:id="rId3"/>
    <sheet name="list_exud_to_st_malo" sheetId="16" r:id="rId4"/>
    <sheet name="tabl_croisee_dynamique" sheetId="5" r:id="rId5"/>
    <sheet name="BM_pool_print" sheetId="12" r:id="rId6"/>
    <sheet name="BM" sheetId="9" r:id="rId7"/>
    <sheet name="ionomique" sheetId="15" r:id="rId8"/>
    <sheet name="Feuil2" sheetId="20" r:id="rId9"/>
    <sheet name="list_microbio_china" sheetId="18" r:id="rId10"/>
    <sheet name="rangement_boite_microbio" sheetId="19" r:id="rId11"/>
    <sheet name="microbio_contamination" sheetId="10" r:id="rId12"/>
    <sheet name="list_broyage_soil" sheetId="21" r:id="rId13"/>
    <sheet name="list_broyage_soil (2)" sheetId="22" r:id="rId14"/>
  </sheets>
  <definedNames>
    <definedName name="_xlnm._FilterDatabase" localSheetId="1" hidden="1">BM_for_pool!$A$1:$M$33</definedName>
    <definedName name="_xlnm._FilterDatabase" localSheetId="2" hidden="1">Feuil1!$A$1:$P$289</definedName>
    <definedName name="_xlnm._FilterDatabase" localSheetId="8" hidden="1">Feuil2!$E$1:$P$94</definedName>
    <definedName name="_xlnm._FilterDatabase" localSheetId="3" hidden="1">list_exud_to_st_malo!$A$1:$Y$290</definedName>
    <definedName name="_xlnm._FilterDatabase" localSheetId="9" hidden="1">list_microbio_china!$A$1:$V$241</definedName>
    <definedName name="_xlnm.Print_Titles" localSheetId="2">Feuil1!$1:$1</definedName>
    <definedName name="_xlnm.Print_Titles" localSheetId="7">ionomique!$1:$1</definedName>
    <definedName name="Segment_genotype">#N/A</definedName>
    <definedName name="Segment_heat_condition">#N/A</definedName>
    <definedName name="Segment_water_condition">#N/A</definedName>
  </definedNames>
  <calcPr calcId="191029"/>
  <pivotCaches>
    <pivotCache cacheId="0" r:id="rId15"/>
    <pivotCache cacheId="1" r:id="rId1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  <x14:slicerCache r:id="rId1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8" i="20" l="1"/>
  <c r="O88" i="20"/>
  <c r="O78" i="20"/>
  <c r="O86" i="20"/>
  <c r="O60" i="20"/>
  <c r="O74" i="20"/>
  <c r="O82" i="20"/>
  <c r="O87" i="20"/>
  <c r="O81" i="20"/>
  <c r="O80" i="20"/>
  <c r="O73" i="20"/>
  <c r="O79" i="20"/>
  <c r="O77" i="20"/>
  <c r="O67" i="20"/>
  <c r="O75" i="20"/>
  <c r="O83" i="20"/>
  <c r="O84" i="20"/>
  <c r="O72" i="20"/>
  <c r="O71" i="20"/>
  <c r="O70" i="20"/>
  <c r="O69" i="20"/>
  <c r="O64" i="20"/>
  <c r="O76" i="20"/>
  <c r="O66" i="20"/>
  <c r="O65" i="20"/>
  <c r="O85" i="20"/>
  <c r="O63" i="20"/>
  <c r="O62" i="20"/>
  <c r="O61" i="20"/>
  <c r="O89" i="20"/>
  <c r="O59" i="20"/>
  <c r="O68" i="20"/>
  <c r="O21" i="20"/>
  <c r="O46" i="20"/>
  <c r="O14" i="20"/>
  <c r="O25" i="20"/>
  <c r="O41" i="20"/>
  <c r="O40" i="20"/>
  <c r="O39" i="20"/>
  <c r="O15" i="20"/>
  <c r="O30" i="20"/>
  <c r="O42" i="20"/>
  <c r="O35" i="20"/>
  <c r="O36" i="20"/>
  <c r="O31" i="20"/>
  <c r="O32" i="20"/>
  <c r="O33" i="20"/>
  <c r="O13" i="20"/>
  <c r="O29" i="20"/>
  <c r="O28" i="20"/>
  <c r="O27" i="20"/>
  <c r="O26" i="20"/>
  <c r="O47" i="20"/>
  <c r="O24" i="20"/>
  <c r="O23" i="20"/>
  <c r="O22" i="20"/>
  <c r="O43" i="20"/>
  <c r="O20" i="20"/>
  <c r="O19" i="20"/>
  <c r="O34" i="20"/>
  <c r="O17" i="20"/>
  <c r="O16" i="20"/>
  <c r="O38" i="20"/>
  <c r="O37" i="20"/>
  <c r="O18" i="20"/>
  <c r="O12" i="20"/>
  <c r="O11" i="20"/>
  <c r="A289" i="13"/>
  <c r="M288" i="13"/>
  <c r="A288" i="13"/>
  <c r="A287" i="13"/>
  <c r="M286" i="13"/>
  <c r="A286" i="13"/>
  <c r="A285" i="13"/>
  <c r="M284" i="13"/>
  <c r="A284" i="13"/>
  <c r="A283" i="13"/>
  <c r="M282" i="13"/>
  <c r="A282" i="13"/>
  <c r="A281" i="13"/>
  <c r="M280" i="13"/>
  <c r="A280" i="13"/>
  <c r="A279" i="13"/>
  <c r="M278" i="13"/>
  <c r="A278" i="13"/>
  <c r="A113" i="13"/>
  <c r="M276" i="13"/>
  <c r="A276" i="13"/>
  <c r="A275" i="13"/>
  <c r="M274" i="13"/>
  <c r="A274" i="13"/>
  <c r="A277" i="13"/>
  <c r="M272" i="13"/>
  <c r="A272" i="13"/>
  <c r="A271" i="13"/>
  <c r="M270" i="13"/>
  <c r="A270" i="13"/>
  <c r="A269" i="13"/>
  <c r="M268" i="13"/>
  <c r="A268" i="13"/>
  <c r="A267" i="13"/>
  <c r="M273" i="13"/>
  <c r="A273" i="13"/>
  <c r="A185" i="13"/>
  <c r="M264" i="13"/>
  <c r="A264" i="13"/>
  <c r="A263" i="13"/>
  <c r="M262" i="13"/>
  <c r="A262" i="13"/>
  <c r="A261" i="13"/>
  <c r="M260" i="13"/>
  <c r="A260" i="13"/>
  <c r="A259" i="13"/>
  <c r="M258" i="13"/>
  <c r="A258" i="13"/>
  <c r="A121" i="13"/>
  <c r="M256" i="13"/>
  <c r="A256" i="13"/>
  <c r="A171" i="13"/>
  <c r="M254" i="13"/>
  <c r="A254" i="13"/>
  <c r="A253" i="13"/>
  <c r="M252" i="13"/>
  <c r="A252" i="13"/>
  <c r="A193" i="13"/>
  <c r="M250" i="13"/>
  <c r="A250" i="13"/>
  <c r="A223" i="13"/>
  <c r="M248" i="13"/>
  <c r="A248" i="13"/>
  <c r="A247" i="13"/>
  <c r="M246" i="13"/>
  <c r="A246" i="13"/>
  <c r="A217" i="13"/>
  <c r="M244" i="13"/>
  <c r="A244" i="13"/>
  <c r="A139" i="13"/>
  <c r="M242" i="13"/>
  <c r="A242" i="13"/>
  <c r="A241" i="13"/>
  <c r="M240" i="13"/>
  <c r="A240" i="13"/>
  <c r="A165" i="13"/>
  <c r="M238" i="13"/>
  <c r="A238" i="13"/>
  <c r="A187" i="13"/>
  <c r="M236" i="13"/>
  <c r="A236" i="13"/>
  <c r="A235" i="13"/>
  <c r="M234" i="13"/>
  <c r="A234" i="13"/>
  <c r="A211" i="13"/>
  <c r="M232" i="13"/>
  <c r="A232" i="13"/>
  <c r="A231" i="13"/>
  <c r="M230" i="13"/>
  <c r="A230" i="13"/>
  <c r="A134" i="13"/>
  <c r="M228" i="13"/>
  <c r="A228" i="13"/>
  <c r="A227" i="13"/>
  <c r="M226" i="13"/>
  <c r="A226" i="13"/>
  <c r="A169" i="13"/>
  <c r="M224" i="13"/>
  <c r="A224" i="13"/>
  <c r="A229" i="13"/>
  <c r="M222" i="13"/>
  <c r="A222" i="13"/>
  <c r="A201" i="13"/>
  <c r="M220" i="13"/>
  <c r="A220" i="13"/>
  <c r="A219" i="13"/>
  <c r="M218" i="13"/>
  <c r="A218" i="13"/>
  <c r="A207" i="13"/>
  <c r="M216" i="13"/>
  <c r="A216" i="13"/>
  <c r="A215" i="13"/>
  <c r="M214" i="13"/>
  <c r="A214" i="13"/>
  <c r="A213" i="13"/>
  <c r="M266" i="13"/>
  <c r="A266" i="13"/>
  <c r="A175" i="13"/>
  <c r="M210" i="13"/>
  <c r="A210" i="13"/>
  <c r="A209" i="13"/>
  <c r="M208" i="13"/>
  <c r="A208" i="13"/>
  <c r="A195" i="13"/>
  <c r="M206" i="13"/>
  <c r="A206" i="13"/>
  <c r="A205" i="13"/>
  <c r="M204" i="13"/>
  <c r="A204" i="13"/>
  <c r="A203" i="13"/>
  <c r="M202" i="13"/>
  <c r="A202" i="13"/>
  <c r="A133" i="13"/>
  <c r="M200" i="13"/>
  <c r="A200" i="13"/>
  <c r="A199" i="13"/>
  <c r="M198" i="13"/>
  <c r="A198" i="13"/>
  <c r="A197" i="13"/>
  <c r="M196" i="13"/>
  <c r="A196" i="13"/>
  <c r="A189" i="13"/>
  <c r="M194" i="13"/>
  <c r="A194" i="13"/>
  <c r="A221" i="13"/>
  <c r="M192" i="13"/>
  <c r="A192" i="13"/>
  <c r="A191" i="13"/>
  <c r="M190" i="13"/>
  <c r="A190" i="13"/>
  <c r="A129" i="13"/>
  <c r="M188" i="13"/>
  <c r="A188" i="13"/>
  <c r="A265" i="13"/>
  <c r="M186" i="13"/>
  <c r="A186" i="13"/>
  <c r="A173" i="13"/>
  <c r="M184" i="13"/>
  <c r="A184" i="13"/>
  <c r="A183" i="13"/>
  <c r="M182" i="13"/>
  <c r="A182" i="13"/>
  <c r="A181" i="13"/>
  <c r="M180" i="13"/>
  <c r="A180" i="13"/>
  <c r="A212" i="13"/>
  <c r="M178" i="13"/>
  <c r="A178" i="13"/>
  <c r="A177" i="13"/>
  <c r="M176" i="13"/>
  <c r="A176" i="13"/>
  <c r="A117" i="13"/>
  <c r="M174" i="13"/>
  <c r="A174" i="13"/>
  <c r="A163" i="13"/>
  <c r="M172" i="13"/>
  <c r="A172" i="13"/>
  <c r="A179" i="13"/>
  <c r="M170" i="13"/>
  <c r="A170" i="13"/>
  <c r="A225" i="13"/>
  <c r="M168" i="13"/>
  <c r="A168" i="13"/>
  <c r="A167" i="13"/>
  <c r="M166" i="13"/>
  <c r="A166" i="13"/>
  <c r="A111" i="13"/>
  <c r="M164" i="13"/>
  <c r="A164" i="13"/>
  <c r="A141" i="13"/>
  <c r="M162" i="13"/>
  <c r="A162" i="13"/>
  <c r="A161" i="13"/>
  <c r="M160" i="13"/>
  <c r="A160" i="13"/>
  <c r="A159" i="13"/>
  <c r="M158" i="13"/>
  <c r="A158" i="13"/>
  <c r="A157" i="13"/>
  <c r="M156" i="13"/>
  <c r="A156" i="13"/>
  <c r="A155" i="13"/>
  <c r="M154" i="13"/>
  <c r="A154" i="13"/>
  <c r="A153" i="13"/>
  <c r="M152" i="13"/>
  <c r="A152" i="13"/>
  <c r="A151" i="13"/>
  <c r="M150" i="13"/>
  <c r="A150" i="13"/>
  <c r="A149" i="13"/>
  <c r="M148" i="13"/>
  <c r="A148" i="13"/>
  <c r="A147" i="13"/>
  <c r="M146" i="13"/>
  <c r="A146" i="13"/>
  <c r="A145" i="13"/>
  <c r="M144" i="13"/>
  <c r="A144" i="13"/>
  <c r="A143" i="13"/>
  <c r="M142" i="13"/>
  <c r="A142" i="13"/>
  <c r="A39" i="13"/>
  <c r="M140" i="13"/>
  <c r="A140" i="13"/>
  <c r="A31" i="13"/>
  <c r="M138" i="13"/>
  <c r="A138" i="13"/>
  <c r="A137" i="13"/>
  <c r="M136" i="13"/>
  <c r="A136" i="13"/>
  <c r="A135" i="13"/>
  <c r="M257" i="13"/>
  <c r="A257" i="13"/>
  <c r="A21" i="13"/>
  <c r="M132" i="13"/>
  <c r="A132" i="13"/>
  <c r="A131" i="13"/>
  <c r="M130" i="13"/>
  <c r="A130" i="13"/>
  <c r="A43" i="13"/>
  <c r="M128" i="13"/>
  <c r="A128" i="13"/>
  <c r="A127" i="13"/>
  <c r="M126" i="13"/>
  <c r="A126" i="13"/>
  <c r="A125" i="13"/>
  <c r="M124" i="13"/>
  <c r="A124" i="13"/>
  <c r="A123" i="13"/>
  <c r="M122" i="13"/>
  <c r="A122" i="13"/>
  <c r="A89" i="13"/>
  <c r="M120" i="13"/>
  <c r="A120" i="13"/>
  <c r="A119" i="13"/>
  <c r="M118" i="13"/>
  <c r="A118" i="13"/>
  <c r="A81" i="13"/>
  <c r="M116" i="13"/>
  <c r="A116" i="13"/>
  <c r="A115" i="13"/>
  <c r="M114" i="13"/>
  <c r="A114" i="13"/>
  <c r="A27" i="13"/>
  <c r="M112" i="13"/>
  <c r="A112" i="13"/>
  <c r="A49" i="13"/>
  <c r="M110" i="13"/>
  <c r="A110" i="13"/>
  <c r="A109" i="13"/>
  <c r="M108" i="13"/>
  <c r="A108" i="13"/>
  <c r="A95" i="13"/>
  <c r="M106" i="13"/>
  <c r="A106" i="13"/>
  <c r="A64" i="13"/>
  <c r="M104" i="13"/>
  <c r="A104" i="13"/>
  <c r="A103" i="13"/>
  <c r="M102" i="13"/>
  <c r="A102" i="13"/>
  <c r="A73" i="13"/>
  <c r="M100" i="13"/>
  <c r="A100" i="13"/>
  <c r="A255" i="13"/>
  <c r="M98" i="13"/>
  <c r="A98" i="13"/>
  <c r="A97" i="13"/>
  <c r="M96" i="13"/>
  <c r="A96" i="13"/>
  <c r="A57" i="13"/>
  <c r="M94" i="13"/>
  <c r="A94" i="13"/>
  <c r="A101" i="13"/>
  <c r="M92" i="13"/>
  <c r="A92" i="13"/>
  <c r="A91" i="13"/>
  <c r="M90" i="13"/>
  <c r="A90" i="13"/>
  <c r="A59" i="13"/>
  <c r="M88" i="13"/>
  <c r="A88" i="13"/>
  <c r="A87" i="13"/>
  <c r="M86" i="13"/>
  <c r="A86" i="13"/>
  <c r="A17" i="13"/>
  <c r="M84" i="13"/>
  <c r="A84" i="13"/>
  <c r="A83" i="13"/>
  <c r="M82" i="13"/>
  <c r="A82" i="13"/>
  <c r="A251" i="13"/>
  <c r="M80" i="13"/>
  <c r="A80" i="13"/>
  <c r="A79" i="13"/>
  <c r="M78" i="13"/>
  <c r="A78" i="13"/>
  <c r="A107" i="13"/>
  <c r="M76" i="13"/>
  <c r="A76" i="13"/>
  <c r="A75" i="13"/>
  <c r="M74" i="13"/>
  <c r="A74" i="13"/>
  <c r="A58" i="13"/>
  <c r="M72" i="13"/>
  <c r="A72" i="13"/>
  <c r="A71" i="13"/>
  <c r="M70" i="13"/>
  <c r="A70" i="13"/>
  <c r="A249" i="13"/>
  <c r="M68" i="13"/>
  <c r="A68" i="13"/>
  <c r="A67" i="13"/>
  <c r="M66" i="13"/>
  <c r="A66" i="13"/>
  <c r="A65" i="13"/>
  <c r="M245" i="13"/>
  <c r="A245" i="13"/>
  <c r="A105" i="13"/>
  <c r="M62" i="13"/>
  <c r="A62" i="13"/>
  <c r="A61" i="13"/>
  <c r="M60" i="13"/>
  <c r="A60" i="13"/>
  <c r="A243" i="13"/>
  <c r="M239" i="13"/>
  <c r="A239" i="13"/>
  <c r="A25" i="13"/>
  <c r="M56" i="13"/>
  <c r="A56" i="13"/>
  <c r="A41" i="13"/>
  <c r="M54" i="13"/>
  <c r="A54" i="13"/>
  <c r="A53" i="13"/>
  <c r="M52" i="13"/>
  <c r="A52" i="13"/>
  <c r="A51" i="13"/>
  <c r="M50" i="13"/>
  <c r="A50" i="13"/>
  <c r="A69" i="13"/>
  <c r="M48" i="13"/>
  <c r="A48" i="13"/>
  <c r="A237" i="13"/>
  <c r="M46" i="13"/>
  <c r="A46" i="13"/>
  <c r="A45" i="13"/>
  <c r="M44" i="13"/>
  <c r="A44" i="13"/>
  <c r="A99" i="13"/>
  <c r="M42" i="13"/>
  <c r="A42" i="13"/>
  <c r="A55" i="13"/>
  <c r="M40" i="13"/>
  <c r="A40" i="13"/>
  <c r="A93" i="13"/>
  <c r="M38" i="13"/>
  <c r="A38" i="13"/>
  <c r="A37" i="13"/>
  <c r="M36" i="13"/>
  <c r="A36" i="13"/>
  <c r="A63" i="13"/>
  <c r="M34" i="13"/>
  <c r="A34" i="13"/>
  <c r="A33" i="13"/>
  <c r="M32" i="13"/>
  <c r="A32" i="13"/>
  <c r="A19" i="13"/>
  <c r="M30" i="13"/>
  <c r="A30" i="13"/>
  <c r="A47" i="13"/>
  <c r="M28" i="13"/>
  <c r="A28" i="13"/>
  <c r="A85" i="13"/>
  <c r="M26" i="13"/>
  <c r="A26" i="13"/>
  <c r="A77" i="13"/>
  <c r="M24" i="13"/>
  <c r="A24" i="13"/>
  <c r="A23" i="13"/>
  <c r="M22" i="13"/>
  <c r="A22" i="13"/>
  <c r="A29" i="13"/>
  <c r="M20" i="13"/>
  <c r="A20" i="13"/>
  <c r="A35" i="13"/>
  <c r="M18" i="13"/>
  <c r="A18" i="13"/>
  <c r="A6" i="13"/>
  <c r="M16" i="13"/>
  <c r="A16" i="13"/>
  <c r="A15" i="13"/>
  <c r="M14" i="13"/>
  <c r="A14" i="13"/>
  <c r="A13" i="13"/>
  <c r="M12" i="13"/>
  <c r="A12" i="13"/>
  <c r="A11" i="13"/>
  <c r="M10" i="13"/>
  <c r="A10" i="13"/>
  <c r="A9" i="13"/>
  <c r="M8" i="13"/>
  <c r="A8" i="13"/>
  <c r="A7" i="13"/>
  <c r="M233" i="13"/>
  <c r="A233" i="13"/>
  <c r="A5" i="13"/>
  <c r="M4" i="13"/>
  <c r="A4" i="13"/>
  <c r="A3" i="13"/>
  <c r="M2" i="13"/>
  <c r="A2" i="13"/>
  <c r="M76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7" i="12"/>
  <c r="M56" i="12"/>
  <c r="M55" i="12"/>
  <c r="M54" i="12"/>
  <c r="M53" i="12"/>
  <c r="M52" i="12"/>
  <c r="M50" i="12"/>
  <c r="M49" i="12"/>
  <c r="M48" i="12"/>
  <c r="M47" i="12"/>
  <c r="M46" i="12"/>
  <c r="M45" i="12"/>
  <c r="M44" i="12"/>
  <c r="M43" i="12"/>
  <c r="M42" i="12"/>
  <c r="M41" i="12"/>
  <c r="M39" i="12"/>
  <c r="M38" i="12"/>
  <c r="M37" i="12"/>
  <c r="M36" i="12"/>
  <c r="M35" i="12"/>
  <c r="M34" i="12"/>
  <c r="M33" i="12"/>
  <c r="M32" i="12"/>
  <c r="M31" i="12"/>
  <c r="M29" i="12"/>
  <c r="M28" i="12"/>
  <c r="M27" i="12"/>
  <c r="M26" i="12"/>
  <c r="M24" i="12"/>
  <c r="M23" i="12"/>
  <c r="M20" i="12"/>
  <c r="M17" i="12"/>
  <c r="M16" i="12"/>
  <c r="M15" i="12"/>
  <c r="M13" i="12"/>
  <c r="M12" i="12"/>
  <c r="M11" i="12"/>
  <c r="M10" i="12"/>
  <c r="M9" i="12"/>
  <c r="M8" i="12"/>
  <c r="M7" i="12"/>
  <c r="M6" i="12"/>
  <c r="M5" i="12"/>
  <c r="M4" i="12"/>
  <c r="M2" i="12"/>
  <c r="M3" i="12"/>
  <c r="M14" i="12"/>
  <c r="M18" i="12"/>
  <c r="M19" i="12"/>
  <c r="M21" i="12"/>
  <c r="M22" i="12"/>
  <c r="M25" i="12"/>
  <c r="M30" i="12"/>
  <c r="M40" i="12"/>
  <c r="M51" i="12"/>
  <c r="M58" i="12"/>
  <c r="M74" i="12"/>
  <c r="M75" i="12"/>
  <c r="M77" i="12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58" i="15"/>
  <c r="T47" i="15"/>
  <c r="T46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11" i="15"/>
  <c r="Q22" i="1"/>
  <c r="F242" i="18"/>
  <c r="F3" i="18" l="1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" i="18"/>
  <c r="A18" i="17" l="1"/>
  <c r="A26" i="17"/>
  <c r="A19" i="17"/>
  <c r="A24" i="17"/>
  <c r="A21" i="17"/>
  <c r="A23" i="17"/>
  <c r="A27" i="17"/>
  <c r="A29" i="17"/>
  <c r="A30" i="17"/>
  <c r="A25" i="17"/>
  <c r="A20" i="17"/>
  <c r="A28" i="17"/>
  <c r="A32" i="17"/>
  <c r="A31" i="17"/>
  <c r="A33" i="17"/>
  <c r="A22" i="17"/>
  <c r="A6" i="17"/>
  <c r="A5" i="17"/>
  <c r="A3" i="17"/>
  <c r="A7" i="17"/>
  <c r="A14" i="17"/>
  <c r="A13" i="17"/>
  <c r="A4" i="17"/>
  <c r="A15" i="17"/>
  <c r="A11" i="17"/>
  <c r="A12" i="17"/>
  <c r="A9" i="17"/>
  <c r="A16" i="17"/>
  <c r="A10" i="17"/>
  <c r="A2" i="17"/>
  <c r="A17" i="17"/>
  <c r="A8" i="17"/>
  <c r="A290" i="16"/>
  <c r="A289" i="16"/>
  <c r="Q288" i="16"/>
  <c r="A288" i="16"/>
  <c r="Q287" i="16"/>
  <c r="A287" i="16"/>
  <c r="Q286" i="16"/>
  <c r="A286" i="16"/>
  <c r="A285" i="16"/>
  <c r="Q284" i="16"/>
  <c r="A284" i="16"/>
  <c r="A283" i="16"/>
  <c r="Q282" i="16"/>
  <c r="A282" i="16"/>
  <c r="Q281" i="16"/>
  <c r="A281" i="16"/>
  <c r="Q280" i="16"/>
  <c r="A280" i="16"/>
  <c r="A279" i="16"/>
  <c r="Q278" i="16"/>
  <c r="A278" i="16"/>
  <c r="A277" i="16"/>
  <c r="Q276" i="16"/>
  <c r="A276" i="16"/>
  <c r="A275" i="16"/>
  <c r="Q274" i="16"/>
  <c r="A274" i="16"/>
  <c r="A273" i="16"/>
  <c r="Q272" i="16"/>
  <c r="A272" i="16"/>
  <c r="A271" i="16"/>
  <c r="Q270" i="16"/>
  <c r="A270" i="16"/>
  <c r="A269" i="16"/>
  <c r="Q268" i="16"/>
  <c r="A268" i="16"/>
  <c r="A267" i="16"/>
  <c r="Q266" i="16"/>
  <c r="A266" i="16"/>
  <c r="A265" i="16"/>
  <c r="Q264" i="16"/>
  <c r="A264" i="16"/>
  <c r="A263" i="16"/>
  <c r="Q262" i="16"/>
  <c r="A262" i="16"/>
  <c r="A261" i="16"/>
  <c r="Q260" i="16"/>
  <c r="A260" i="16"/>
  <c r="A259" i="16"/>
  <c r="Q258" i="16"/>
  <c r="A258" i="16"/>
  <c r="A257" i="16"/>
  <c r="Q256" i="16"/>
  <c r="A256" i="16"/>
  <c r="A255" i="16"/>
  <c r="Q254" i="16"/>
  <c r="A254" i="16"/>
  <c r="A253" i="16"/>
  <c r="Q252" i="16"/>
  <c r="A252" i="16"/>
  <c r="A251" i="16"/>
  <c r="Q250" i="16"/>
  <c r="A250" i="16"/>
  <c r="A249" i="16"/>
  <c r="Q248" i="16"/>
  <c r="A248" i="16"/>
  <c r="A247" i="16"/>
  <c r="Q246" i="16"/>
  <c r="A246" i="16"/>
  <c r="A245" i="16"/>
  <c r="Q244" i="16"/>
  <c r="A244" i="16"/>
  <c r="A243" i="16"/>
  <c r="Q242" i="16"/>
  <c r="A242" i="16"/>
  <c r="A241" i="16"/>
  <c r="Q240" i="16"/>
  <c r="A240" i="16"/>
  <c r="A239" i="16"/>
  <c r="Q238" i="16"/>
  <c r="A238" i="16"/>
  <c r="A237" i="16"/>
  <c r="Q236" i="16"/>
  <c r="A236" i="16"/>
  <c r="A235" i="16"/>
  <c r="Q234" i="16"/>
  <c r="A234" i="16"/>
  <c r="A233" i="16"/>
  <c r="Q232" i="16"/>
  <c r="A232" i="16"/>
  <c r="A231" i="16"/>
  <c r="Q230" i="16"/>
  <c r="A230" i="16"/>
  <c r="A229" i="16"/>
  <c r="Q228" i="16"/>
  <c r="A228" i="16"/>
  <c r="A227" i="16"/>
  <c r="Q226" i="16"/>
  <c r="A226" i="16"/>
  <c r="A225" i="16"/>
  <c r="Q224" i="16"/>
  <c r="A224" i="16"/>
  <c r="A223" i="16"/>
  <c r="Q222" i="16"/>
  <c r="A222" i="16"/>
  <c r="A221" i="16"/>
  <c r="Q220" i="16"/>
  <c r="A220" i="16"/>
  <c r="A219" i="16"/>
  <c r="Q218" i="16"/>
  <c r="A218" i="16"/>
  <c r="A217" i="16"/>
  <c r="Q216" i="16"/>
  <c r="A216" i="16"/>
  <c r="A215" i="16"/>
  <c r="Q214" i="16"/>
  <c r="A214" i="16"/>
  <c r="A213" i="16"/>
  <c r="Q212" i="16"/>
  <c r="A212" i="16"/>
  <c r="A211" i="16"/>
  <c r="Q210" i="16"/>
  <c r="A210" i="16"/>
  <c r="A209" i="16"/>
  <c r="Q208" i="16"/>
  <c r="A208" i="16"/>
  <c r="A207" i="16"/>
  <c r="Q206" i="16"/>
  <c r="A206" i="16"/>
  <c r="A205" i="16"/>
  <c r="Q204" i="16"/>
  <c r="A204" i="16"/>
  <c r="A203" i="16"/>
  <c r="Q202" i="16"/>
  <c r="A202" i="16"/>
  <c r="A201" i="16"/>
  <c r="Q200" i="16"/>
  <c r="A200" i="16"/>
  <c r="A199" i="16"/>
  <c r="Q198" i="16"/>
  <c r="A198" i="16"/>
  <c r="A197" i="16"/>
  <c r="Q196" i="16"/>
  <c r="A196" i="16"/>
  <c r="A195" i="16"/>
  <c r="Q194" i="16"/>
  <c r="A194" i="16"/>
  <c r="A193" i="16"/>
  <c r="A192" i="16"/>
  <c r="A191" i="16"/>
  <c r="Q190" i="16"/>
  <c r="A190" i="16"/>
  <c r="A189" i="16"/>
  <c r="Q188" i="16"/>
  <c r="A188" i="16"/>
  <c r="A187" i="16"/>
  <c r="Q186" i="16"/>
  <c r="A186" i="16"/>
  <c r="A185" i="16"/>
  <c r="Q184" i="16"/>
  <c r="A184" i="16"/>
  <c r="A183" i="16"/>
  <c r="Q182" i="16"/>
  <c r="A182" i="16"/>
  <c r="Q181" i="16"/>
  <c r="A181" i="16"/>
  <c r="Q180" i="16"/>
  <c r="A180" i="16"/>
  <c r="A179" i="16"/>
  <c r="Q178" i="16"/>
  <c r="A178" i="16"/>
  <c r="A177" i="16"/>
  <c r="Q176" i="16"/>
  <c r="A176" i="16"/>
  <c r="A175" i="16"/>
  <c r="Q174" i="16"/>
  <c r="A174" i="16"/>
  <c r="A173" i="16"/>
  <c r="Q172" i="16"/>
  <c r="A172" i="16"/>
  <c r="A171" i="16"/>
  <c r="Q170" i="16"/>
  <c r="A170" i="16"/>
  <c r="A169" i="16"/>
  <c r="Q168" i="16"/>
  <c r="A168" i="16"/>
  <c r="A167" i="16"/>
  <c r="Q166" i="16"/>
  <c r="A166" i="16"/>
  <c r="A165" i="16"/>
  <c r="Q164" i="16"/>
  <c r="A164" i="16"/>
  <c r="A163" i="16"/>
  <c r="Q162" i="16"/>
  <c r="A162" i="16"/>
  <c r="A161" i="16"/>
  <c r="Q160" i="16"/>
  <c r="A160" i="16"/>
  <c r="Q159" i="16"/>
  <c r="A159" i="16"/>
  <c r="Q158" i="16"/>
  <c r="A158" i="16"/>
  <c r="Q157" i="16"/>
  <c r="A157" i="16"/>
  <c r="Q156" i="16"/>
  <c r="A156" i="16"/>
  <c r="A155" i="16"/>
  <c r="Q154" i="16"/>
  <c r="A154" i="16"/>
  <c r="Q153" i="16"/>
  <c r="A153" i="16"/>
  <c r="Q152" i="16"/>
  <c r="A152" i="16"/>
  <c r="A151" i="16"/>
  <c r="Q150" i="16"/>
  <c r="A150" i="16"/>
  <c r="A149" i="16"/>
  <c r="Q148" i="16"/>
  <c r="A148" i="16"/>
  <c r="Q147" i="16"/>
  <c r="A147" i="16"/>
  <c r="Q146" i="16"/>
  <c r="A146" i="16"/>
  <c r="A145" i="16"/>
  <c r="Q144" i="16"/>
  <c r="A144" i="16"/>
  <c r="Q143" i="16"/>
  <c r="A143" i="16"/>
  <c r="Q142" i="16"/>
  <c r="A142" i="16"/>
  <c r="A141" i="16"/>
  <c r="Q140" i="16"/>
  <c r="A140" i="16"/>
  <c r="A139" i="16"/>
  <c r="Q138" i="16"/>
  <c r="A138" i="16"/>
  <c r="Q137" i="16"/>
  <c r="A137" i="16"/>
  <c r="Q136" i="16"/>
  <c r="A136" i="16"/>
  <c r="A135" i="16"/>
  <c r="Q134" i="16"/>
  <c r="A134" i="16"/>
  <c r="A133" i="16"/>
  <c r="Q132" i="16"/>
  <c r="A132" i="16"/>
  <c r="A131" i="16"/>
  <c r="Q130" i="16"/>
  <c r="A130" i="16"/>
  <c r="A129" i="16"/>
  <c r="Q128" i="16"/>
  <c r="A128" i="16"/>
  <c r="A127" i="16"/>
  <c r="Q126" i="16"/>
  <c r="A126" i="16"/>
  <c r="A125" i="16"/>
  <c r="Q124" i="16"/>
  <c r="A124" i="16"/>
  <c r="A123" i="16"/>
  <c r="Q122" i="16"/>
  <c r="A122" i="16"/>
  <c r="A121" i="16"/>
  <c r="Q120" i="16"/>
  <c r="A120" i="16"/>
  <c r="A119" i="16"/>
  <c r="Q118" i="16"/>
  <c r="A118" i="16"/>
  <c r="A117" i="16"/>
  <c r="Q116" i="16"/>
  <c r="A116" i="16"/>
  <c r="A115" i="16"/>
  <c r="Q114" i="16"/>
  <c r="A114" i="16"/>
  <c r="A113" i="16"/>
  <c r="Q112" i="16"/>
  <c r="A112" i="16"/>
  <c r="A111" i="16"/>
  <c r="Q110" i="16"/>
  <c r="A110" i="16"/>
  <c r="A109" i="16"/>
  <c r="Q108" i="16"/>
  <c r="A108" i="16"/>
  <c r="A107" i="16"/>
  <c r="Q106" i="16"/>
  <c r="A106" i="16"/>
  <c r="A105" i="16"/>
  <c r="Q104" i="16"/>
  <c r="A104" i="16"/>
  <c r="A103" i="16"/>
  <c r="Q102" i="16"/>
  <c r="A102" i="16"/>
  <c r="A101" i="16"/>
  <c r="Q100" i="16"/>
  <c r="A100" i="16"/>
  <c r="A99" i="16"/>
  <c r="Q98" i="16"/>
  <c r="A98" i="16"/>
  <c r="A97" i="16"/>
  <c r="Q96" i="16"/>
  <c r="A96" i="16"/>
  <c r="A95" i="16"/>
  <c r="Q94" i="16"/>
  <c r="A94" i="16"/>
  <c r="A93" i="16"/>
  <c r="Q92" i="16"/>
  <c r="A92" i="16"/>
  <c r="A91" i="16"/>
  <c r="Q90" i="16"/>
  <c r="A90" i="16"/>
  <c r="A89" i="16"/>
  <c r="Q88" i="16"/>
  <c r="A88" i="16"/>
  <c r="A87" i="16"/>
  <c r="Q86" i="16"/>
  <c r="A86" i="16"/>
  <c r="A85" i="16"/>
  <c r="Q84" i="16"/>
  <c r="A84" i="16"/>
  <c r="A83" i="16"/>
  <c r="Q82" i="16"/>
  <c r="A82" i="16"/>
  <c r="A81" i="16"/>
  <c r="Q80" i="16"/>
  <c r="A80" i="16"/>
  <c r="A79" i="16"/>
  <c r="Q78" i="16"/>
  <c r="A78" i="16"/>
  <c r="A77" i="16"/>
  <c r="Q76" i="16"/>
  <c r="A76" i="16"/>
  <c r="A75" i="16"/>
  <c r="Q74" i="16"/>
  <c r="A74" i="16"/>
  <c r="A73" i="16"/>
  <c r="Q72" i="16"/>
  <c r="A72" i="16"/>
  <c r="A71" i="16"/>
  <c r="Q70" i="16"/>
  <c r="A70" i="16"/>
  <c r="A69" i="16"/>
  <c r="Q68" i="16"/>
  <c r="A68" i="16"/>
  <c r="A67" i="16"/>
  <c r="P66" i="16"/>
  <c r="A66" i="16"/>
  <c r="A65" i="16"/>
  <c r="Q64" i="16"/>
  <c r="A64" i="16"/>
  <c r="A63" i="16"/>
  <c r="Q62" i="16"/>
  <c r="P62" i="16" s="1"/>
  <c r="A62" i="16"/>
  <c r="A61" i="16"/>
  <c r="Q60" i="16"/>
  <c r="A60" i="16"/>
  <c r="A59" i="16"/>
  <c r="Q58" i="16"/>
  <c r="A58" i="16"/>
  <c r="A57" i="16"/>
  <c r="P56" i="16"/>
  <c r="A56" i="16"/>
  <c r="A55" i="16"/>
  <c r="Q54" i="16"/>
  <c r="P54" i="16" s="1"/>
  <c r="A54" i="16"/>
  <c r="A53" i="16"/>
  <c r="Q52" i="16"/>
  <c r="A52" i="16"/>
  <c r="A51" i="16"/>
  <c r="Q50" i="16"/>
  <c r="A50" i="16"/>
  <c r="A49" i="16"/>
  <c r="P48" i="16"/>
  <c r="A48" i="16"/>
  <c r="A47" i="16"/>
  <c r="Q46" i="16"/>
  <c r="A46" i="16"/>
  <c r="A45" i="16"/>
  <c r="Q44" i="16"/>
  <c r="A44" i="16"/>
  <c r="A43" i="16"/>
  <c r="Q42" i="16"/>
  <c r="P42" i="16" s="1"/>
  <c r="A42" i="16"/>
  <c r="A41" i="16"/>
  <c r="P40" i="16"/>
  <c r="A40" i="16"/>
  <c r="A39" i="16"/>
  <c r="Q38" i="16"/>
  <c r="P38" i="16" s="1"/>
  <c r="A38" i="16"/>
  <c r="A37" i="16"/>
  <c r="Q36" i="16"/>
  <c r="A36" i="16"/>
  <c r="A35" i="16"/>
  <c r="P34" i="16"/>
  <c r="A34" i="16"/>
  <c r="A33" i="16"/>
  <c r="Q32" i="16"/>
  <c r="A32" i="16"/>
  <c r="A31" i="16"/>
  <c r="Q30" i="16"/>
  <c r="P30" i="16" s="1"/>
  <c r="A30" i="16"/>
  <c r="A29" i="16"/>
  <c r="P28" i="16"/>
  <c r="A28" i="16"/>
  <c r="A27" i="16"/>
  <c r="Q26" i="16"/>
  <c r="P26" i="16" s="1"/>
  <c r="A26" i="16"/>
  <c r="A25" i="16"/>
  <c r="P24" i="16"/>
  <c r="A24" i="16"/>
  <c r="A23" i="16"/>
  <c r="Q22" i="16"/>
  <c r="A22" i="16"/>
  <c r="A21" i="16"/>
  <c r="Q20" i="16"/>
  <c r="P20" i="16" s="1"/>
  <c r="A20" i="16"/>
  <c r="A19" i="16"/>
  <c r="A18" i="16"/>
  <c r="A17" i="16"/>
  <c r="Q16" i="16"/>
  <c r="A16" i="16"/>
  <c r="A15" i="16"/>
  <c r="Q14" i="16"/>
  <c r="A14" i="16"/>
  <c r="A13" i="16"/>
  <c r="Q12" i="16"/>
  <c r="A12" i="16"/>
  <c r="A11" i="16"/>
  <c r="Q10" i="16"/>
  <c r="A10" i="16"/>
  <c r="A9" i="16"/>
  <c r="Q8" i="16"/>
  <c r="A8" i="16"/>
  <c r="A7" i="16"/>
  <c r="Q6" i="16"/>
  <c r="A6" i="16"/>
  <c r="A5" i="16"/>
  <c r="Q4" i="16"/>
  <c r="A4" i="16"/>
  <c r="A3" i="16"/>
  <c r="Q2" i="16"/>
  <c r="A2" i="16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" i="1"/>
  <c r="Q288" i="1"/>
  <c r="P287" i="1"/>
  <c r="Q286" i="1"/>
  <c r="P286" i="1" s="1"/>
  <c r="Q284" i="1"/>
  <c r="Q282" i="1"/>
  <c r="P281" i="1"/>
  <c r="Q280" i="1"/>
  <c r="P280" i="1" s="1"/>
  <c r="Q278" i="1"/>
  <c r="Q276" i="1"/>
  <c r="Q274" i="1"/>
  <c r="Q272" i="1"/>
  <c r="Q270" i="1"/>
  <c r="Q268" i="1"/>
  <c r="Q266" i="1"/>
  <c r="Q264" i="1"/>
  <c r="Q262" i="1"/>
  <c r="Q260" i="1"/>
  <c r="Q258" i="1"/>
  <c r="Q256" i="1"/>
  <c r="Q254" i="1"/>
  <c r="Q252" i="1"/>
  <c r="Q250" i="1"/>
  <c r="Q248" i="1"/>
  <c r="Q246" i="1"/>
  <c r="Q244" i="1"/>
  <c r="Q242" i="1"/>
  <c r="Q240" i="1"/>
  <c r="Q238" i="1"/>
  <c r="Q236" i="1"/>
  <c r="Q234" i="1"/>
  <c r="Q232" i="1"/>
  <c r="Q230" i="1"/>
  <c r="Q228" i="1"/>
  <c r="Q226" i="1"/>
  <c r="Q224" i="1"/>
  <c r="Q222" i="1"/>
  <c r="Q220" i="1"/>
  <c r="Q218" i="1"/>
  <c r="Q216" i="1"/>
  <c r="Q214" i="1"/>
  <c r="Q212" i="1"/>
  <c r="Q210" i="1"/>
  <c r="Q208" i="1"/>
  <c r="Q206" i="1"/>
  <c r="Q204" i="1"/>
  <c r="Q202" i="1"/>
  <c r="Q200" i="1"/>
  <c r="Q198" i="1"/>
  <c r="Q196" i="1"/>
  <c r="Q194" i="1"/>
  <c r="Q192" i="1"/>
  <c r="Q190" i="1"/>
  <c r="Q188" i="1"/>
  <c r="Q186" i="1"/>
  <c r="Q184" i="1"/>
  <c r="Q182" i="1"/>
  <c r="Q180" i="1"/>
  <c r="Q178" i="1"/>
  <c r="Q176" i="1"/>
  <c r="Q174" i="1"/>
  <c r="Q172" i="1"/>
  <c r="Q170" i="1"/>
  <c r="Q168" i="1"/>
  <c r="Q166" i="1"/>
  <c r="Q164" i="1"/>
  <c r="Q162" i="1"/>
  <c r="Q160" i="1"/>
  <c r="P159" i="1"/>
  <c r="Q158" i="1"/>
  <c r="P158" i="1" s="1"/>
  <c r="P157" i="1"/>
  <c r="Q156" i="1"/>
  <c r="P156" i="1" s="1"/>
  <c r="Q154" i="1"/>
  <c r="P153" i="1"/>
  <c r="Q152" i="1"/>
  <c r="P152" i="1" s="1"/>
  <c r="Q150" i="1"/>
  <c r="Q148" i="1"/>
  <c r="P147" i="1"/>
  <c r="Q146" i="1"/>
  <c r="P146" i="1" s="1"/>
  <c r="Q144" i="1"/>
  <c r="P143" i="1"/>
  <c r="Q142" i="1"/>
  <c r="P142" i="1" s="1"/>
  <c r="Q140" i="1"/>
  <c r="Q138" i="1"/>
  <c r="Q136" i="1"/>
  <c r="Q134" i="1"/>
  <c r="Q132" i="1"/>
  <c r="Q130" i="1"/>
  <c r="Q128" i="1"/>
  <c r="Q126" i="1"/>
  <c r="Q124" i="1"/>
  <c r="Q122" i="1"/>
  <c r="Q120" i="1"/>
  <c r="Q118" i="1"/>
  <c r="Q116" i="1"/>
  <c r="Q114" i="1"/>
  <c r="Q112" i="1"/>
  <c r="Q110" i="1"/>
  <c r="Q108" i="1"/>
  <c r="Q106" i="1"/>
  <c r="Q104" i="1"/>
  <c r="Q102" i="1"/>
  <c r="Q100" i="1"/>
  <c r="Q98" i="1"/>
  <c r="Q96" i="1"/>
  <c r="Q94" i="1"/>
  <c r="Q92" i="1"/>
  <c r="Q90" i="1"/>
  <c r="Q88" i="1"/>
  <c r="Q86" i="1"/>
  <c r="Q84" i="1"/>
  <c r="Q82" i="1"/>
  <c r="Q80" i="1"/>
  <c r="Q78" i="1"/>
  <c r="Q76" i="1"/>
  <c r="Q74" i="1"/>
  <c r="Q72" i="1"/>
  <c r="Q70" i="1"/>
  <c r="Q68" i="1"/>
  <c r="Q66" i="1"/>
  <c r="Q64" i="1"/>
  <c r="Q62" i="1"/>
  <c r="Q60" i="1"/>
  <c r="Q58" i="1"/>
  <c r="Q56" i="1"/>
  <c r="Q54" i="1"/>
  <c r="Q52" i="1"/>
  <c r="Q50" i="1"/>
  <c r="Q48" i="1"/>
  <c r="Q46" i="1"/>
  <c r="Q44" i="1"/>
  <c r="Q42" i="1"/>
  <c r="Q40" i="1"/>
  <c r="Q38" i="1"/>
  <c r="Q36" i="1"/>
  <c r="Q34" i="1"/>
  <c r="Q32" i="1"/>
  <c r="Q30" i="1"/>
  <c r="Q28" i="1"/>
  <c r="Q26" i="1"/>
  <c r="Q24" i="1"/>
  <c r="Q20" i="1"/>
  <c r="Q18" i="1"/>
  <c r="Q16" i="1"/>
  <c r="Q14" i="1"/>
  <c r="Q12" i="1"/>
  <c r="Q10" i="1"/>
  <c r="Q8" i="1"/>
  <c r="Q6" i="1"/>
  <c r="Q4" i="1"/>
  <c r="Q2" i="1"/>
</calcChain>
</file>

<file path=xl/sharedStrings.xml><?xml version="1.0" encoding="utf-8"?>
<sst xmlns="http://schemas.openxmlformats.org/spreadsheetml/2006/main" count="13152" uniqueCount="937">
  <si>
    <t>position</t>
  </si>
  <si>
    <t>storage_line</t>
  </si>
  <si>
    <t>unit</t>
  </si>
  <si>
    <t>num_rhizo</t>
  </si>
  <si>
    <t>ref_rhizo_simple</t>
  </si>
  <si>
    <t>heat_condition</t>
  </si>
  <si>
    <t>water_condition</t>
  </si>
  <si>
    <t>genotype</t>
  </si>
  <si>
    <t>analyse_by_plant</t>
  </si>
  <si>
    <t>acronyme_analyse</t>
  </si>
  <si>
    <t>recolte</t>
  </si>
  <si>
    <t>rep</t>
  </si>
  <si>
    <t>date_recolte</t>
  </si>
  <si>
    <t>paire</t>
  </si>
  <si>
    <t>plant_num</t>
  </si>
  <si>
    <t>plante_remplacer</t>
  </si>
  <si>
    <t>note</t>
  </si>
  <si>
    <t>U2</t>
  </si>
  <si>
    <t>1_U2_Sto_OT_WW_R1_EB_rep1</t>
  </si>
  <si>
    <t>OT</t>
  </si>
  <si>
    <t>WW</t>
  </si>
  <si>
    <t>Stocata</t>
  </si>
  <si>
    <t>Eco</t>
  </si>
  <si>
    <t>EB</t>
  </si>
  <si>
    <t>3_U2_Wen_OT_WW_R1_JEx_rep1</t>
  </si>
  <si>
    <t>Wendy</t>
  </si>
  <si>
    <t>Exud</t>
  </si>
  <si>
    <t>JEx</t>
  </si>
  <si>
    <t>Jav</t>
  </si>
  <si>
    <t>5_U2_Sto_OT_WW_R1_JEx_rep1</t>
  </si>
  <si>
    <t>7_U2_Wen_OT_WW_R1_EB_rep1</t>
  </si>
  <si>
    <t>9_U2_Sto_OT_WW_R1_JEx_rep2</t>
  </si>
  <si>
    <t>11_U2_Wen_OT_WW_R1_EB_rep2</t>
  </si>
  <si>
    <t>13_U2_Sto_OT_WW_R1_EB_rep2</t>
  </si>
  <si>
    <t>15_U2_Wen_OT_WW_R1_JEx_rep2</t>
  </si>
  <si>
    <t>BM</t>
  </si>
  <si>
    <t>17_U2_Sto_OT_WW_R2_EB_rep1</t>
  </si>
  <si>
    <t>19_U2_Wen_OT_WW_R2_EB_rep1</t>
  </si>
  <si>
    <t>21_U2_Wen_OT_WS_R2_JEx_rep1</t>
  </si>
  <si>
    <t>WS</t>
  </si>
  <si>
    <t>23_U2_Wen_OT_WS_R2_EB_rep1</t>
  </si>
  <si>
    <t>25_U2_Sto_OT_WS_R2_EB_rep1</t>
  </si>
  <si>
    <t>27_U2_Sto_OT_WW_R2_EB_rep2</t>
  </si>
  <si>
    <t>29_U2_Wen_OT_WW_R2_EB_rep2</t>
  </si>
  <si>
    <t>31_U2_Sto_OT_WW_R2_JEx_rep1</t>
  </si>
  <si>
    <t>33_U2_Wen_OT_WS_R2_EB_rep2</t>
  </si>
  <si>
    <t>35_U2_Wen_OT_WW_R2_JEx_rep1</t>
  </si>
  <si>
    <t>37_U2_Sto_OT_WS_R2_EB_rep2</t>
  </si>
  <si>
    <t>39_U2_Sto_OT_WW_R2_EB_rep3</t>
  </si>
  <si>
    <t>41_U2_Sto_OT_WS_R2_EB_rep3</t>
  </si>
  <si>
    <t>43_U2_Wen_OT_WW_R2_EB_rep3</t>
  </si>
  <si>
    <t>oui par 55</t>
  </si>
  <si>
    <t>oui par 56</t>
  </si>
  <si>
    <t>45_U2_Sto_OT_WS_R2_JEx_rep1</t>
  </si>
  <si>
    <t>oui par 49</t>
  </si>
  <si>
    <t>oui par 50</t>
  </si>
  <si>
    <t>47_U2_Wen_OT_WS_R2_EB_rep3</t>
  </si>
  <si>
    <t>49_U2_Sto_OT_WS_Rx_SPARE_repX</t>
  </si>
  <si>
    <t>51_U2_Wen_OT_WS_Rx_SPARE_repX</t>
  </si>
  <si>
    <t>…..</t>
  </si>
  <si>
    <t>53_U2_Sto_OT_WW_Rx_SPARE_repX</t>
  </si>
  <si>
    <t>55_U2_Wen_OT_WW_Rx_SPARE_repX</t>
  </si>
  <si>
    <t>57_U2_Sto_OT_WS_Rx_SPARE_repX</t>
  </si>
  <si>
    <t>59_U2_Wen_OT_WS_Rx_SPARE_repX</t>
  </si>
  <si>
    <t>Jex</t>
  </si>
  <si>
    <t>61_U2_Sto_OT_WS_R2_EB_rep4</t>
  </si>
  <si>
    <t>63_U2_Wen_OT_WW_R2_JEx_rep2</t>
  </si>
  <si>
    <t>oui par 143</t>
  </si>
  <si>
    <t>oui par 144</t>
  </si>
  <si>
    <t>65_U2_Sto_OT_WW_R2_EB_rep4</t>
  </si>
  <si>
    <t>oui par 53</t>
  </si>
  <si>
    <t>oui par 54</t>
  </si>
  <si>
    <t>67_U2_Wen_OT_WW_R2_EB_rep4</t>
  </si>
  <si>
    <t>69_U2_Sto_OT_WW_R2_JEx_rep2</t>
  </si>
  <si>
    <t>71_U2_Wen_OT_WS_R2_EB_rep4</t>
  </si>
  <si>
    <t>73_U2_Sto_OT_WS_R2_JEx_rep2</t>
  </si>
  <si>
    <t>75_U2_Sto_OT_WS_R2_EB_rep5</t>
  </si>
  <si>
    <t>77_U2_Wen_OT_WS_R2_JEx_rep2</t>
  </si>
  <si>
    <t>79_U2_Sto_OT_WW_R2_EB_rep5</t>
  </si>
  <si>
    <t>81_U2_Sto_OT_WS_R2_JEx_rep3</t>
  </si>
  <si>
    <t>83_U2_Wen_OT_WW_R2_EB_rep5</t>
  </si>
  <si>
    <t>85_U2_Sto_OT_WW_R2_JEx_rep3</t>
  </si>
  <si>
    <t>87_U2_Wen_OT_WS_R2_EB_rep5</t>
  </si>
  <si>
    <t>89_U2_Wen_OT_WW_R2_JEx_rep3</t>
  </si>
  <si>
    <t>91_U2_Sto_OT_WS_R2_EB_rep6</t>
  </si>
  <si>
    <t>93_U2_Sto_OT_WW_R2_EB_rep6</t>
  </si>
  <si>
    <t>95_U2_Wen_OT_WS_R2_JEx_rep3</t>
  </si>
  <si>
    <t>97_U2_Wen_OT_WW_R2_EB_rep6</t>
  </si>
  <si>
    <t>oui par 15</t>
  </si>
  <si>
    <t>oui par 16</t>
  </si>
  <si>
    <t>99_U2_Wen_OT_WS_R2_EB_rep6</t>
  </si>
  <si>
    <t>101_U2_Sto_OT_WW_Rx_SPARE_repX</t>
  </si>
  <si>
    <t>103_U2_Wen_OT_WS_R2_EB_rep7</t>
  </si>
  <si>
    <t>105_U2_Sto_OT_WS_R2_EB_rep7</t>
  </si>
  <si>
    <t>107_U2_Sto_OT_WS_R2_JEx_rep4</t>
  </si>
  <si>
    <t>109_U2_Sto_OT_WW_R2_EB_rep7</t>
  </si>
  <si>
    <t>111_U2_Wen_OT_WW_R2_EB_rep7</t>
  </si>
  <si>
    <t>113_U2_Wen_OT_WS_R2_JEx_rep4</t>
  </si>
  <si>
    <t>oui par 59</t>
  </si>
  <si>
    <t>oui par 60</t>
  </si>
  <si>
    <t>115_U2_Wen_OT_WS_R2_EB_rep8</t>
  </si>
  <si>
    <t>117_U2_Wen_OT_WW_R2_JEx_rep4</t>
  </si>
  <si>
    <t>119_U2_Sto_OT_WS_R2_EB_rep8</t>
  </si>
  <si>
    <t>121_U2_Sto_OT_WW_R2_JEx_rep4</t>
  </si>
  <si>
    <t>123_U2_Wen_OT_WS_R2_JEx_rep5</t>
  </si>
  <si>
    <t>125_U2_Wen_OT_WW_R2_JEx_rep5</t>
  </si>
  <si>
    <t>127_U2_Sto_OT_WW_R2_EB_rep8</t>
  </si>
  <si>
    <t>129_U2_Sto_OT_WS_R2_JEx_rep5</t>
  </si>
  <si>
    <t>131_U2_Wen_OT_WW_R2_EB_rep8</t>
  </si>
  <si>
    <t>133_U2_Sto_OT_WW_R2_JEx_rep5</t>
  </si>
  <si>
    <t>oui par 101</t>
  </si>
  <si>
    <t>oui par 102</t>
  </si>
  <si>
    <t>135_U2_Sto_OT_WW_R1_EB_rep3</t>
  </si>
  <si>
    <t>137_U2_Wen_OT_WW_R1_JEx_rep3</t>
  </si>
  <si>
    <t>139_U2_Sto_OT_WW_R1_JEx_rep3</t>
  </si>
  <si>
    <t>141_U2_Wen_OT_WW_R1_EB_rep3</t>
  </si>
  <si>
    <t>143_U2_Wen_OT_WW_Rx_SPARE_repX</t>
  </si>
  <si>
    <t>U3</t>
  </si>
  <si>
    <t>1001_U3_Sto_OT_WW_R1_EB_rep1</t>
  </si>
  <si>
    <t>sol pas pris, pb membrane</t>
  </si>
  <si>
    <t>1003_U3_Wen_OT_WW_R1_JEx_rep1</t>
  </si>
  <si>
    <t>HS</t>
  </si>
  <si>
    <t>1005_U3_Sto_OT_WW_R1_JEx_rep1</t>
  </si>
  <si>
    <t>oui par 1053</t>
  </si>
  <si>
    <t>oui par 1054</t>
  </si>
  <si>
    <t>1007_U3_Wen_OT_WW_R1_EB_rep1</t>
  </si>
  <si>
    <t>1009_U3_Sto_OT_WW_R1_JEx_rep2</t>
  </si>
  <si>
    <t>1011_U3_Wen_OT_WW_R1_EB_rep2</t>
  </si>
  <si>
    <t>1013_U3_Sto_OT_WW_R1_EB_rep2</t>
  </si>
  <si>
    <t>1015_U3_Wen_OT_WW_R1_JEx_rep2</t>
  </si>
  <si>
    <t>1017_U3_Sto_HS_WW_R2_EB_rep1</t>
  </si>
  <si>
    <t>1019_U3_Wen_HS_WW_R2_EB_rep1</t>
  </si>
  <si>
    <t>1021_U3_Wen_HS_WS_R2_JEx_rep1</t>
  </si>
  <si>
    <t>1023_U3_Wen_HS_WS_R2_EB_rep1</t>
  </si>
  <si>
    <t>1025_U3_Sto_HS_WS_R2_EB_rep1</t>
  </si>
  <si>
    <t>1027_U3_Sto_HS_WW_R2_EB_rep2</t>
  </si>
  <si>
    <t>1029_U3_Wen_HS_WW_R2_EB_rep2</t>
  </si>
  <si>
    <t>1031_U3_Sto_HS_WW_R2_JEx_rep1</t>
  </si>
  <si>
    <t>1033_U3_Wen_HS_WS_R2_EB_rep2</t>
  </si>
  <si>
    <t>1035_U3_Wen_HS_WW_R2_JEx_rep1</t>
  </si>
  <si>
    <t>oui par 1143</t>
  </si>
  <si>
    <t>oui par 1144</t>
  </si>
  <si>
    <t>1037_U3_Sto_HS_WS_R2_EB_rep2</t>
  </si>
  <si>
    <t>1039_U3_Sto_HS_WW_R2_EB_rep3</t>
  </si>
  <si>
    <t>1041_U3_Sto_HS_WS_R2_EB_rep3</t>
  </si>
  <si>
    <t>oui par 1049</t>
  </si>
  <si>
    <t>oui par 1050</t>
  </si>
  <si>
    <t>1043_U3_Wen_HS_WW_R2_EB_rep3</t>
  </si>
  <si>
    <t>1045_U3_Sto_HS_WS_R2_JEx_rep1</t>
  </si>
  <si>
    <t>1047_U3_Wen_HS_WS_R2_EB_rep3</t>
  </si>
  <si>
    <t>1049_U3_Sto_HS_WS_Rx_SPARE_repX</t>
  </si>
  <si>
    <t>1051_U3_Wen_HS_WS_Rx_SPARE_repX</t>
  </si>
  <si>
    <t>1053_U3_Sto_HS_WW_Rx_SPARE_repX</t>
  </si>
  <si>
    <t>1055_U3_Wen_HS_WW_Rx_SPARE_repX</t>
  </si>
  <si>
    <t>1057_U3_Sto_HS_WS_Rx_SPARE_repX</t>
  </si>
  <si>
    <t>1059_U3_Wen_HS_WS_Rx_SPARE_repX</t>
  </si>
  <si>
    <t>1061_U3_Sto_HS_WS_R2_EB_rep4</t>
  </si>
  <si>
    <t>1063_U3_Wen_HS_WW_R2_JEx_rep2</t>
  </si>
  <si>
    <t>1065_U3_Sto_HS_WW_R2_EB_rep4</t>
  </si>
  <si>
    <t>1067_U3_Wen_HS_WW_R2_EB_rep4</t>
  </si>
  <si>
    <t>oui par 1055</t>
  </si>
  <si>
    <t>oui par 1056</t>
  </si>
  <si>
    <t>1069_U3_Sto_HS_WW_R2_JEx_rep2</t>
  </si>
  <si>
    <t>1071_U3_Wen_HS_WS_R2_EB_rep4</t>
  </si>
  <si>
    <t>1073_U3_Sto_HS_WS_R2_JEx_rep2</t>
  </si>
  <si>
    <t>1075_U3_Sto_HS_WS_R2_EB_rep5</t>
  </si>
  <si>
    <t>1077_U3_Wen_HS_WS_R2_JEx_rep2</t>
  </si>
  <si>
    <t>oui par 1059</t>
  </si>
  <si>
    <t>mauvaise reprise</t>
  </si>
  <si>
    <t>oui par 1060</t>
  </si>
  <si>
    <t>1079_U3_Sto_HS_WW_R2_EB_rep5</t>
  </si>
  <si>
    <t>1081_U3_Sto_HS_WS_R2_JEx_rep3</t>
  </si>
  <si>
    <t>1083_U3_Wen_HS_WW_R2_EB_rep5</t>
  </si>
  <si>
    <t>1085_U3_Sto_HS_WW_R2_JEx_rep3</t>
  </si>
  <si>
    <t>1087_U3_Wen_HS_WS_R2_EB_rep5</t>
  </si>
  <si>
    <t>1089_U3_Wen_HS_WW_R2_JEx_rep3</t>
  </si>
  <si>
    <t>1091_U3_Sto_HS_WS_R2_EB_rep6</t>
  </si>
  <si>
    <t>1093_U3_Sto_HS_WW_R2_EB_rep6</t>
  </si>
  <si>
    <t>1095_U3_Wen_HS_WS_R2_JEx_rep3</t>
  </si>
  <si>
    <t>1097_U3_Wen_HS_WW_R2_EB_rep6</t>
  </si>
  <si>
    <t>1099_U3_Wen_HS_WS_R2_EB_rep6</t>
  </si>
  <si>
    <t>1101_U3_Sto_HS_WW_Rx_SPARE_repX</t>
  </si>
  <si>
    <t>1103_U3_Wen_HS_WS_R2_EB_rep7</t>
  </si>
  <si>
    <t>1105_U3_Sto_HS_WS_R2_EB_rep7</t>
  </si>
  <si>
    <t>1107_U3_Sto_HS_WS_R2_JEx_rep4</t>
  </si>
  <si>
    <t>oui par 1057</t>
  </si>
  <si>
    <t>oui par 1058</t>
  </si>
  <si>
    <t>1109_U3_Sto_HS_WW_R2_EB_rep7</t>
  </si>
  <si>
    <t>1111_U3_Wen_HS_WW_R2_EB_rep7</t>
  </si>
  <si>
    <t>1113_U3_Wen_HS_WS_R2_JEx_rep4</t>
  </si>
  <si>
    <t>1115_U3_Wen_HS_WS_R2_EB_rep8</t>
  </si>
  <si>
    <t>1117_U3_Wen_HS_WW_R2_JEx_rep4</t>
  </si>
  <si>
    <t>1119_U3_Sto_HS_WS_R2_EB_rep8</t>
  </si>
  <si>
    <t>1121_U3_Sto_HS_WW_R2_JEx_rep4</t>
  </si>
  <si>
    <t>oui par 1101</t>
  </si>
  <si>
    <t>oui par 1102</t>
  </si>
  <si>
    <t>1123_U3_Wen_HS_WS_R2_JEx_rep5</t>
  </si>
  <si>
    <t>1125_U3_Wen_HS_WW_R2_JEx_rep5</t>
  </si>
  <si>
    <t>1127_U3_Sto_HS_WW_R2_EB_rep8</t>
  </si>
  <si>
    <t>1129_U3_Sto_HS_WS_R2_JEx_rep5</t>
  </si>
  <si>
    <t>1131_U3_Wen_HS_WW_R2_EB_rep8</t>
  </si>
  <si>
    <t>1133_U3_Sto_HS_WW_R2_JEx_rep5</t>
  </si>
  <si>
    <t>1135_U3_Sto_OT_WW_R1_EB_rep3</t>
  </si>
  <si>
    <t>1137_U3_Wen_OT_WW_R1_JEx_rep3</t>
  </si>
  <si>
    <t>1139_U3_Sto_OT_WW_R1_JEx_rep3</t>
  </si>
  <si>
    <t>1141_U3_Wen_OT_WW_R1_EB_rep3</t>
  </si>
  <si>
    <t>1143_U3_Wen_HS_WW_Rx_SPARE_repX</t>
  </si>
  <si>
    <t>ne pas prendre cette plante (flétrie)</t>
  </si>
  <si>
    <t>hors type jeter</t>
  </si>
  <si>
    <t>test exudats</t>
  </si>
  <si>
    <t>pas de microbio bulk</t>
  </si>
  <si>
    <t>pas de prélevement sol</t>
  </si>
  <si>
    <t>tige pincée pendant 10 min</t>
  </si>
  <si>
    <t xml:space="preserve">une feuille est tomber lors de la mise sur chario </t>
  </si>
  <si>
    <t>raté au démoulage</t>
  </si>
  <si>
    <t>attention les 5 tubes sont inversé avec la 1139</t>
  </si>
  <si>
    <t>pas d'échantillon. Plante morte</t>
  </si>
  <si>
    <t>tube ouvert dans l'azote concernant le contrôle de contamination</t>
  </si>
  <si>
    <t>pas de plante</t>
  </si>
  <si>
    <t>test exsudats</t>
  </si>
  <si>
    <t>remplacement BM</t>
  </si>
  <si>
    <t>des ramification qui demarent</t>
  </si>
  <si>
    <t>pas de tube contamination_test</t>
  </si>
  <si>
    <t>fletrissement 2 jours avant récolte</t>
  </si>
  <si>
    <t>hors type, je ne sais pas si elle à été pris</t>
  </si>
  <si>
    <t>feuille trifolié abimé mais analyse réalisé</t>
  </si>
  <si>
    <t>une partie des latéral pas pris car à traverser membrane</t>
  </si>
  <si>
    <t>plante morte avant recolte</t>
  </si>
  <si>
    <t>au final les deux en javel</t>
  </si>
  <si>
    <t xml:space="preserve">au final les deux en javel, attention probleme apex </t>
  </si>
  <si>
    <t xml:space="preserve">pb apex </t>
  </si>
  <si>
    <t>juste fait un scan, rien de plus (pas d'exsudation)</t>
  </si>
  <si>
    <t>pot en partie renverser pour l'exsudation</t>
  </si>
  <si>
    <t>un peu petite a cause changement plante, plante jeter</t>
  </si>
  <si>
    <t>pas de bulk, et une partie des racines dans substrats</t>
  </si>
  <si>
    <t>remplace BM</t>
  </si>
  <si>
    <t>pas de prélevement car feuille flétrie lors de la manip</t>
  </si>
  <si>
    <t>Étiquettes de lignes</t>
  </si>
  <si>
    <t>Total général</t>
  </si>
  <si>
    <t>Nombre de plant_num</t>
  </si>
  <si>
    <t>Étiquettes de colonnes</t>
  </si>
  <si>
    <t>12-oct</t>
  </si>
  <si>
    <t>13-oct</t>
  </si>
  <si>
    <t>14-oct</t>
  </si>
  <si>
    <t>le chiffre raturé pour microbio rhizo et metabo rhizo est bon (ex : 1062)</t>
  </si>
  <si>
    <t>Microbio rhizo et metabo rhizo sont dans les tubes 1132</t>
  </si>
  <si>
    <t>←</t>
  </si>
  <si>
    <t>pool</t>
  </si>
  <si>
    <t>je_prend</t>
  </si>
  <si>
    <t>oui</t>
  </si>
  <si>
    <t>remplacement BM, attention prélevement vers 19:30</t>
  </si>
  <si>
    <t>conta_TSA</t>
  </si>
  <si>
    <t>conta_malteAgar</t>
  </si>
  <si>
    <t>Somme de conta_TSA</t>
  </si>
  <si>
    <t>Somme de conta_malteAgar</t>
  </si>
  <si>
    <t>deux colonie pour TSA</t>
  </si>
  <si>
    <t>j'ai fait deux fois un TSA</t>
  </si>
  <si>
    <t>s</t>
  </si>
  <si>
    <t>plant_id</t>
  </si>
  <si>
    <t>inversion ? Feuille, tige racine. Deux exemplaire pour chaque</t>
  </si>
  <si>
    <t>Depth of the root system</t>
  </si>
  <si>
    <t>Width of the root system</t>
  </si>
  <si>
    <t>area</t>
  </si>
  <si>
    <t>Relative humidity</t>
  </si>
  <si>
    <t>ok</t>
  </si>
  <si>
    <t>convexhull</t>
  </si>
  <si>
    <t>Note_image</t>
  </si>
  <si>
    <t>height_of_the_plant</t>
  </si>
  <si>
    <t>non</t>
  </si>
  <si>
    <t>horaire_recolte_aprox</t>
  </si>
  <si>
    <t>organe</t>
  </si>
  <si>
    <t>réaliser</t>
  </si>
  <si>
    <t>root</t>
  </si>
  <si>
    <t>pas de prélevement car feuille flétrie lors de la manip,; trouvé alue avec 1139</t>
  </si>
  <si>
    <t>remplacement BM, le seul BM pas broyer dans boite stem_leaf</t>
  </si>
  <si>
    <t>remplace BM + test_sol_st_malo</t>
  </si>
  <si>
    <t>remplacement BM + test_sol_st_malo</t>
  </si>
  <si>
    <t>decapitation by sylvie, dans BM mais dans les test + + test_sol_st_malo</t>
  </si>
  <si>
    <t>inversion lors du scan. Peut être problème biomasse</t>
  </si>
  <si>
    <t>test pour exsudats, pb apex démarage + test_exsudats_st_malo</t>
  </si>
  <si>
    <t>test pour exsudats + test_exsudats_st_malo</t>
  </si>
  <si>
    <t>test pour exudats + test_exsudats_st_malo</t>
  </si>
  <si>
    <t>toute petite, test exsudats + test_exsudats_st_malo</t>
  </si>
  <si>
    <t>condition</t>
  </si>
  <si>
    <t>15-oct</t>
  </si>
  <si>
    <t>Sto_WW_OT</t>
  </si>
  <si>
    <t>Wen_WW_OT</t>
  </si>
  <si>
    <t>Wen_WS_OT</t>
  </si>
  <si>
    <t>Sto_WS_OT</t>
  </si>
  <si>
    <t>Sto_WW_HS</t>
  </si>
  <si>
    <t>Wen_WW_HS</t>
  </si>
  <si>
    <t>Wen_WS_HS</t>
  </si>
  <si>
    <t>Sto_WS_HS</t>
  </si>
  <si>
    <t>verif hauteur plante</t>
  </si>
  <si>
    <t>verif root architecture</t>
  </si>
  <si>
    <t>D</t>
  </si>
  <si>
    <t>A</t>
  </si>
  <si>
    <t>S si possible</t>
  </si>
  <si>
    <t>S</t>
  </si>
  <si>
    <t>W+A</t>
  </si>
  <si>
    <t>P+w</t>
  </si>
  <si>
    <t>w</t>
  </si>
  <si>
    <t>x</t>
  </si>
  <si>
    <t>x trop haut</t>
  </si>
  <si>
    <t>léger au début</t>
  </si>
  <si>
    <t>un peu grand</t>
  </si>
  <si>
    <t>S/P</t>
  </si>
  <si>
    <t>ne pas prendre</t>
  </si>
  <si>
    <t>W si posssible (non pas possible pour rep7)</t>
  </si>
  <si>
    <t>s+p(mais pas le choix</t>
  </si>
  <si>
    <t>P (mais pas le choix)</t>
  </si>
  <si>
    <t>x  (mais pas le choix)</t>
  </si>
  <si>
    <t>x (mais pas le choix)</t>
  </si>
  <si>
    <t>w si possible (non pas si rep 7)</t>
  </si>
  <si>
    <t>un peu casi rien (je la garde)</t>
  </si>
  <si>
    <t>plant_bm_dans_pool mm RT metabo</t>
  </si>
  <si>
    <t>xx</t>
  </si>
  <si>
    <t>outlier_biomasse_seche</t>
  </si>
  <si>
    <t>tige</t>
  </si>
  <si>
    <t>sol falcon 15ml pris, 2nd envoie St malo</t>
  </si>
  <si>
    <t>deux échantillon sol bulk, falcon 15ml métabo</t>
  </si>
  <si>
    <t>pool_BM</t>
  </si>
  <si>
    <t>pool_iono</t>
  </si>
  <si>
    <t>j'ai j'ai pas a st malo</t>
  </si>
  <si>
    <t>location</t>
  </si>
  <si>
    <t>Racine [St_Malo Falcon15ml -80°C /Dijon 2ml / Genwise 2ml ]</t>
  </si>
  <si>
    <t>Exudats[St_Malo, pots prélévement 180ml] / matière sèche Dijon</t>
  </si>
  <si>
    <t>decongelation lors de la lyophe</t>
  </si>
  <si>
    <t xml:space="preserve">problème lors du passage du pots prélèvement 150ml à l'eppendorf 5ml (deux fois solution in tube 5ml). Donc relyophe et resuspendue. </t>
  </si>
  <si>
    <t>induct_error_evapotranspi</t>
  </si>
  <si>
    <t>pas trouver pour CHN</t>
  </si>
  <si>
    <t>pas trouver</t>
  </si>
  <si>
    <t>poids poudre</t>
  </si>
  <si>
    <t>induct_error_root_architecture</t>
  </si>
  <si>
    <t>pas parfaite pour une architecture racinaire précise</t>
  </si>
  <si>
    <t>attention, enlever pour les annalyse car root biomasse et ration shoot/root bizzare</t>
  </si>
  <si>
    <t>note_error_iono</t>
  </si>
  <si>
    <t>16 fois outlier et en plus bizzare en ACP</t>
  </si>
  <si>
    <t>10 faute et bizzare en ACP</t>
  </si>
  <si>
    <t>only_C_and_N</t>
  </si>
  <si>
    <t>attention, exSpare erreur annotation tube prélévement ecto pour condition (Wen_WS_OT au lieu de Wen_WW_OT)</t>
  </si>
  <si>
    <t>feuille trifolié abimé mais analyse réalisé, erreur anot tube only cond (sto_HS_WS au lieu de wen_ws_hs)</t>
  </si>
  <si>
    <t>erreur anot tube ecto, 1058_wen_ws_hs au lieu de sto_ws_hs</t>
  </si>
  <si>
    <t>erreur annot tube ecto 102 wen_ws_ot au lieu de sto_ww_ot</t>
  </si>
  <si>
    <t>erreur annot tube, 144sto_ww_ot au lieu de wen_ww_ot</t>
  </si>
  <si>
    <t>pas de plante ?</t>
  </si>
  <si>
    <t>pb apex, donc pas de plante, pas trouver lors de microbio broyage</t>
  </si>
  <si>
    <t>au final les deux en javel. Bizzare, pas d'indication si feuille ou tige (que un sac)</t>
  </si>
  <si>
    <t>pas de tube contamination_test, et pb annoter 1104 pour endo pa et root</t>
  </si>
  <si>
    <t>au final les deux en javel, attention probleme ape, avt broyage annoter en 1008, uniquement pour PA endo</t>
  </si>
  <si>
    <t>démarre un peu mal donc je n'ai pas les valeurs de mesure d'architecture du début</t>
  </si>
  <si>
    <t>plus de poudre pour en faire un autre post broyage et extraction</t>
  </si>
  <si>
    <t>17 fois outlier</t>
  </si>
  <si>
    <t>tube ouvert dans l'azote concernant le contrôle de contamination et root ecto</t>
  </si>
  <si>
    <t>pris 15ul sur les 25 (rest ~10) de l'alicot pour faire un teste de rep technique) (car pas 5 rep pour 130 root_ecto)</t>
  </si>
  <si>
    <t>send_for_mcom</t>
  </si>
  <si>
    <t>box contenant sol</t>
  </si>
  <si>
    <t>key</t>
  </si>
  <si>
    <t>type</t>
  </si>
  <si>
    <t>broyer/filtrer ?</t>
  </si>
  <si>
    <t>date_broyage</t>
  </si>
  <si>
    <t>extraction ?</t>
  </si>
  <si>
    <t>date_extraction</t>
  </si>
  <si>
    <t>qui</t>
  </si>
  <si>
    <t>DateTime_Nanodrop</t>
  </si>
  <si>
    <t>Nucleic Acid Conc.</t>
  </si>
  <si>
    <t>Unit</t>
  </si>
  <si>
    <t>A260</t>
  </si>
  <si>
    <t>A280</t>
  </si>
  <si>
    <t>260/280</t>
  </si>
  <si>
    <t>260/230</t>
  </si>
  <si>
    <t>20_bulk_soil</t>
  </si>
  <si>
    <t>bulk_soil</t>
  </si>
  <si>
    <t>pas besoin</t>
  </si>
  <si>
    <t>fini</t>
  </si>
  <si>
    <t>Corentin et Paloma</t>
  </si>
  <si>
    <t>ng/µl</t>
  </si>
  <si>
    <t>20_rhizosphere</t>
  </si>
  <si>
    <t>rhizosphere</t>
  </si>
  <si>
    <t>22_leaf_ecto</t>
  </si>
  <si>
    <t>leaf_ecto</t>
  </si>
  <si>
    <t>14A</t>
  </si>
  <si>
    <t>Pauline</t>
  </si>
  <si>
    <t>erreur_solution C4 et C5 de l'ancien kit</t>
  </si>
  <si>
    <t>22_leaf_endo</t>
  </si>
  <si>
    <t>leaf_endo</t>
  </si>
  <si>
    <t>Corentin</t>
  </si>
  <si>
    <t>22_root_ecto</t>
  </si>
  <si>
    <t>root_ecto</t>
  </si>
  <si>
    <t>22_root_endo</t>
  </si>
  <si>
    <t>root_endo</t>
  </si>
  <si>
    <t>24_bulk_soil</t>
  </si>
  <si>
    <t>Paloma</t>
  </si>
  <si>
    <t>24_rhizosphere</t>
  </si>
  <si>
    <t>26_bulk_soil</t>
  </si>
  <si>
    <t>26_rhizosphere</t>
  </si>
  <si>
    <t>28_bulk_soil</t>
  </si>
  <si>
    <t>28_rhizosphere</t>
  </si>
  <si>
    <t>32_leaf_ecto</t>
  </si>
  <si>
    <t>32_leaf_endo</t>
  </si>
  <si>
    <t>32_root_ecto</t>
  </si>
  <si>
    <t>32_root_endo</t>
  </si>
  <si>
    <t>34_bulk_soil</t>
  </si>
  <si>
    <t>34_rhizosphere</t>
  </si>
  <si>
    <t>36_leaf_ecto</t>
  </si>
  <si>
    <t>36_leaf_endo</t>
  </si>
  <si>
    <t>36_root_ecto</t>
  </si>
  <si>
    <t>36_root_endo</t>
  </si>
  <si>
    <t>38_bulk_soil</t>
  </si>
  <si>
    <t>38_rhizosphere</t>
  </si>
  <si>
    <t>40_bulk_soil</t>
  </si>
  <si>
    <t>40_rhizosphere</t>
  </si>
  <si>
    <t>50_leaf_ecto</t>
  </si>
  <si>
    <t>50_leaf_endo</t>
  </si>
  <si>
    <t>50_root_ecto</t>
  </si>
  <si>
    <t>50_root_endo</t>
  </si>
  <si>
    <t>56_bulk_soil</t>
  </si>
  <si>
    <t>56_rhizosphere</t>
  </si>
  <si>
    <t>60_leaf_ecto</t>
  </si>
  <si>
    <t>60_leaf_endo</t>
  </si>
  <si>
    <t>Corentin Pauline</t>
  </si>
  <si>
    <t>60_root_ecto</t>
  </si>
  <si>
    <t>60_root_endo</t>
  </si>
  <si>
    <t>62_bulk_soil</t>
  </si>
  <si>
    <t>62_rhizosphere</t>
  </si>
  <si>
    <t>70_leaf_ecto</t>
  </si>
  <si>
    <t>70_leaf_endo</t>
  </si>
  <si>
    <t>Paloma et Pauline</t>
  </si>
  <si>
    <t>70_root_ecto</t>
  </si>
  <si>
    <t>70_root_endo</t>
  </si>
  <si>
    <t>72_bulk_soil</t>
  </si>
  <si>
    <t>72_rhizosphere</t>
  </si>
  <si>
    <t>74_leaf_ecto</t>
  </si>
  <si>
    <t>74_leaf_endo</t>
  </si>
  <si>
    <t>74_root_ecto</t>
  </si>
  <si>
    <t>74_root_endo</t>
  </si>
  <si>
    <t>78_leaf_ecto</t>
  </si>
  <si>
    <t>78_leaf_endo</t>
  </si>
  <si>
    <t>78_root_ecto</t>
  </si>
  <si>
    <t>78_root_endo</t>
  </si>
  <si>
    <t>82_leaf_ecto</t>
  </si>
  <si>
    <t>82_leaf_endo</t>
  </si>
  <si>
    <t>82_root_ecto</t>
  </si>
  <si>
    <t>82_root_endo</t>
  </si>
  <si>
    <t>84_bulk_soil</t>
  </si>
  <si>
    <t>84_rhizosphere</t>
  </si>
  <si>
    <t>86_leaf_ecto</t>
  </si>
  <si>
    <t>86_leaf_endo</t>
  </si>
  <si>
    <t>86_root_ecto</t>
  </si>
  <si>
    <t>86_root_endo</t>
  </si>
  <si>
    <t>90_leaf_ecto</t>
  </si>
  <si>
    <t>90_leaf_endo</t>
  </si>
  <si>
    <t>90_root_ecto</t>
  </si>
  <si>
    <t>90_root_endo</t>
  </si>
  <si>
    <t>92_bulk_soil</t>
  </si>
  <si>
    <t>92_rhizosphere</t>
  </si>
  <si>
    <t>96_leaf_ecto</t>
  </si>
  <si>
    <t>96_leaf_endo</t>
  </si>
  <si>
    <t>96_root_ecto</t>
  </si>
  <si>
    <t>96_root_endo</t>
  </si>
  <si>
    <t>100_bulk_soil</t>
  </si>
  <si>
    <t>100_rhizosphere</t>
  </si>
  <si>
    <t>102_leaf_ecto</t>
  </si>
  <si>
    <t>102_leaf_endo</t>
  </si>
  <si>
    <t>102_root_ecto</t>
  </si>
  <si>
    <t>102_root_endo</t>
  </si>
  <si>
    <t>ecrit étiquette allu pré broyage 102 wendy root endo ot ws (petite erreur du au faite que c'est un SPARE), erreur réctifier ensuite</t>
  </si>
  <si>
    <t>104_bulk_soil</t>
  </si>
  <si>
    <t>104_rhizosphere</t>
  </si>
  <si>
    <t>106_bulk_soil</t>
  </si>
  <si>
    <t>106_rhizosphere</t>
  </si>
  <si>
    <t>108_leaf_ecto</t>
  </si>
  <si>
    <t>108_leaf_endo</t>
  </si>
  <si>
    <t>108_root_ecto</t>
  </si>
  <si>
    <t>108_root_endo</t>
  </si>
  <si>
    <t>112_bulk_soil</t>
  </si>
  <si>
    <t>112_rhizosphere</t>
  </si>
  <si>
    <t>118_leaf_ecto</t>
  </si>
  <si>
    <t>118_leaf_endo</t>
  </si>
  <si>
    <t>118_root_ecto</t>
  </si>
  <si>
    <t>118_root_endo</t>
  </si>
  <si>
    <t>122_leaf_ecto</t>
  </si>
  <si>
    <t>122_leaf_endo</t>
  </si>
  <si>
    <t>122_root_ecto</t>
  </si>
  <si>
    <t>122_root_endo</t>
  </si>
  <si>
    <t>124_leaf_ecto</t>
  </si>
  <si>
    <t>124_leaf_endo</t>
  </si>
  <si>
    <t>124_root_ecto</t>
  </si>
  <si>
    <t>124_root_endo</t>
  </si>
  <si>
    <t>126_leaf_ecto</t>
  </si>
  <si>
    <t>126_leaf_endo</t>
  </si>
  <si>
    <t>attention rature car mis dans 1126</t>
  </si>
  <si>
    <t>126_root_ecto</t>
  </si>
  <si>
    <t>126_root_endo</t>
  </si>
  <si>
    <t>128_bulk_soil</t>
  </si>
  <si>
    <t>128_rhizosphere</t>
  </si>
  <si>
    <t>130_leaf_ecto</t>
  </si>
  <si>
    <t>130_leaf_endo</t>
  </si>
  <si>
    <t>130_root_ecto</t>
  </si>
  <si>
    <t>ya pas</t>
  </si>
  <si>
    <t>ouvert dans l'azote pendant la récolte, remplacé par une rep (la 74 root ecto )</t>
  </si>
  <si>
    <t>130_root_endo</t>
  </si>
  <si>
    <t>132_bulk_soil</t>
  </si>
  <si>
    <t>132_rhizosphere</t>
  </si>
  <si>
    <t>133_bulk_soil</t>
  </si>
  <si>
    <t>133_rhizosphere</t>
  </si>
  <si>
    <t>140_bulk_soil</t>
  </si>
  <si>
    <t>140_rhizosphere</t>
  </si>
  <si>
    <t>144_leaf_ecto</t>
  </si>
  <si>
    <t>Echantillons 144 marqués 114</t>
  </si>
  <si>
    <t>144_leaf_endo</t>
  </si>
  <si>
    <t>144_root_ecto</t>
  </si>
  <si>
    <t>144_root_endo</t>
  </si>
  <si>
    <t>ecrit étiquette allu pré broyage 144 stocata root endo ot ww (petite erreur du au faite que c'est un SPARE)</t>
  </si>
  <si>
    <t>1004_leaf_ecto</t>
  </si>
  <si>
    <t>14B</t>
  </si>
  <si>
    <t>1004_leaf_endo</t>
  </si>
  <si>
    <t>attention noter 1104 sur le papier allu, rectifier lors de la mise en falcon post broyage</t>
  </si>
  <si>
    <t>1004_root_ecto</t>
  </si>
  <si>
    <t>attention noter 1104</t>
  </si>
  <si>
    <t>1004_root_endo</t>
  </si>
  <si>
    <t>1018_bulk_soil</t>
  </si>
  <si>
    <t>1018_rhizosphere</t>
  </si>
  <si>
    <t>1020_bulk_soil</t>
  </si>
  <si>
    <t>1020_rhizosphere</t>
  </si>
  <si>
    <t>1022_leaf_ecto</t>
  </si>
  <si>
    <t>1022_leaf_endo</t>
  </si>
  <si>
    <t>1022_root_ecto</t>
  </si>
  <si>
    <t>1022_root_endo</t>
  </si>
  <si>
    <t>1024_bulk_soil</t>
  </si>
  <si>
    <t>1024_rhizosphere</t>
  </si>
  <si>
    <t>1026_bulk_soil</t>
  </si>
  <si>
    <t>1026_rhizosphere</t>
  </si>
  <si>
    <t>1028_bulk_soil</t>
  </si>
  <si>
    <t>1028_rhizosphere</t>
  </si>
  <si>
    <t>1030_bulk_soil</t>
  </si>
  <si>
    <t>1030_rhizosphere</t>
  </si>
  <si>
    <t>1032_leaf_ecto</t>
  </si>
  <si>
    <t>1032_leaf_endo</t>
  </si>
  <si>
    <t>1032_root_ecto</t>
  </si>
  <si>
    <t>1032_root_endo</t>
  </si>
  <si>
    <t>1034_bulk_soil</t>
  </si>
  <si>
    <t>1034_rhizosphere</t>
  </si>
  <si>
    <t>1040_bulk_soil</t>
  </si>
  <si>
    <t>1040_rhizosphere</t>
  </si>
  <si>
    <t>1046_leaf_ecto</t>
  </si>
  <si>
    <t>1046_leaf_endo</t>
  </si>
  <si>
    <t>plus de poudre pour en faire un autre</t>
  </si>
  <si>
    <t>1046_root_ecto</t>
  </si>
  <si>
    <t>1046_root_endo</t>
  </si>
  <si>
    <t>1048_bulk_soil</t>
  </si>
  <si>
    <t>1048_rhizosphere</t>
  </si>
  <si>
    <t>1056_bulk_soil</t>
  </si>
  <si>
    <t>1056_rhizosphere</t>
  </si>
  <si>
    <t>1058_leaf_ecto</t>
  </si>
  <si>
    <t>1058_leaf_endo</t>
  </si>
  <si>
    <t>1058_root_ecto</t>
  </si>
  <si>
    <t>1058_root_endo</t>
  </si>
  <si>
    <t>1060_leaf_ecto</t>
  </si>
  <si>
    <t>1060_leaf_endo</t>
  </si>
  <si>
    <t>1060_root_ecto</t>
  </si>
  <si>
    <t>1060_root_endo</t>
  </si>
  <si>
    <t>1064_leaf_ecto</t>
  </si>
  <si>
    <t>1064_leaf_endo</t>
  </si>
  <si>
    <t>1064_root_ecto</t>
  </si>
  <si>
    <t>1064_root_endo</t>
  </si>
  <si>
    <t>1070_leaf_ecto</t>
  </si>
  <si>
    <t>1070_leaf_endo</t>
  </si>
  <si>
    <t>1070_root_ecto</t>
  </si>
  <si>
    <t>1070_root_endo</t>
  </si>
  <si>
    <t>1072_bulk_soil</t>
  </si>
  <si>
    <t>1072_rhizosphere</t>
  </si>
  <si>
    <t>1074_leaf_ecto</t>
  </si>
  <si>
    <t>1074_leaf_endo</t>
  </si>
  <si>
    <t>1074_root_ecto</t>
  </si>
  <si>
    <t>1074_root_endo</t>
  </si>
  <si>
    <t>1076_bulk_soil</t>
  </si>
  <si>
    <t>1076_rhizosphere</t>
  </si>
  <si>
    <t>1080_bulk_soil</t>
  </si>
  <si>
    <t>1080_rhizosphere</t>
  </si>
  <si>
    <t>1086_leaf_ecto</t>
  </si>
  <si>
    <t>1086_leaf_endo</t>
  </si>
  <si>
    <t>1086_root_ecto</t>
  </si>
  <si>
    <t>1086_root_endo</t>
  </si>
  <si>
    <t>trouver des PA au lieu des RA dans le sachet allu. Mis dans le bon falcon ensuite.</t>
  </si>
  <si>
    <t>1088_bulk_soil</t>
  </si>
  <si>
    <t>1088_rhizosphere</t>
  </si>
  <si>
    <t>1092_bulk_soil</t>
  </si>
  <si>
    <t>1092_rhizosphere</t>
  </si>
  <si>
    <t>1094_bulk_soil</t>
  </si>
  <si>
    <t>1094_rhizosphere</t>
  </si>
  <si>
    <t>1096_leaf_ecto</t>
  </si>
  <si>
    <t>1096_leaf_endo</t>
  </si>
  <si>
    <t>1096_root_ecto</t>
  </si>
  <si>
    <t>1096_root_endo</t>
  </si>
  <si>
    <t>1098_bulk_soil</t>
  </si>
  <si>
    <t>1098_rhizosphere</t>
  </si>
  <si>
    <t>1102_leaf_ecto</t>
  </si>
  <si>
    <t>1102_leaf_endo</t>
  </si>
  <si>
    <t>1102_root_ecto</t>
  </si>
  <si>
    <t>1102_root_endo</t>
  </si>
  <si>
    <t>1106_bulk_soil</t>
  </si>
  <si>
    <t>1106_rhizosphere</t>
  </si>
  <si>
    <t>1107_leaf_ecto</t>
  </si>
  <si>
    <t>1107_leaf_endo</t>
  </si>
  <si>
    <t>1107_root_ecto</t>
  </si>
  <si>
    <t>1107_root_endo</t>
  </si>
  <si>
    <t>1108_leaf_ecto</t>
  </si>
  <si>
    <t>1108_leaf_endo</t>
  </si>
  <si>
    <t>ecriture manuscrit 1108 PA</t>
  </si>
  <si>
    <t>1108_root_ecto</t>
  </si>
  <si>
    <t>1108_root_endo</t>
  </si>
  <si>
    <t>1114_leaf_ecto</t>
  </si>
  <si>
    <t>1114_leaf_endo</t>
  </si>
  <si>
    <t>1114_root_ecto</t>
  </si>
  <si>
    <t>1114_root_endo</t>
  </si>
  <si>
    <t>1118_leaf_ecto</t>
  </si>
  <si>
    <t>1118_leaf_endo</t>
  </si>
  <si>
    <t>1118_root_ecto</t>
  </si>
  <si>
    <t>1118_root_endo</t>
  </si>
  <si>
    <t>1120_bulk_soil</t>
  </si>
  <si>
    <t>1120_rhizosphere</t>
  </si>
  <si>
    <t>1124_leaf_ecto</t>
  </si>
  <si>
    <t>1124_leaf_endo</t>
  </si>
  <si>
    <t>1124_root_ecto</t>
  </si>
  <si>
    <t>1124_root_endo</t>
  </si>
  <si>
    <t>1126_leaf_ecto</t>
  </si>
  <si>
    <t>1126_leaf_endo</t>
  </si>
  <si>
    <t>attention rature car mis dans 1126 (broyage)</t>
  </si>
  <si>
    <t>1126_root_ecto</t>
  </si>
  <si>
    <t>1126_root_endo</t>
  </si>
  <si>
    <t>1132_bulk_soil</t>
  </si>
  <si>
    <t>1132_rhizosphere</t>
  </si>
  <si>
    <t>attention deux (voire enregistrement audio)</t>
  </si>
  <si>
    <t>1134_leaf_ecto</t>
  </si>
  <si>
    <t>1134_leaf_endo</t>
  </si>
  <si>
    <t>1134_root_ecto</t>
  </si>
  <si>
    <t>1134_root_endo</t>
  </si>
  <si>
    <t>1144_leaf_ecto</t>
  </si>
  <si>
    <t>1144_leaf_endo</t>
  </si>
  <si>
    <t>1144_root_ecto</t>
  </si>
  <si>
    <t>1144_root_endo</t>
  </si>
  <si>
    <t>microbio_bulk_rhizo</t>
  </si>
  <si>
    <t>short_code</t>
  </si>
  <si>
    <t>microbio_endo_root_leaf</t>
  </si>
  <si>
    <t>microbio_ecto_root_leaf</t>
  </si>
  <si>
    <t>28 bk</t>
  </si>
  <si>
    <t>40 bk</t>
  </si>
  <si>
    <t>128 bk</t>
  </si>
  <si>
    <t>133 bk</t>
  </si>
  <si>
    <t>140 bk</t>
  </si>
  <si>
    <t>1018 bk</t>
  </si>
  <si>
    <t>1028 bk</t>
  </si>
  <si>
    <t>1040 bk</t>
  </si>
  <si>
    <t>1080 bk</t>
  </si>
  <si>
    <t>1094 bk</t>
  </si>
  <si>
    <t>26 bk</t>
  </si>
  <si>
    <t>38 bk</t>
  </si>
  <si>
    <t>62 bk</t>
  </si>
  <si>
    <t>92 bk</t>
  </si>
  <si>
    <t>106 bk</t>
  </si>
  <si>
    <t>1026 bk</t>
  </si>
  <si>
    <t>1076 bk</t>
  </si>
  <si>
    <t>1092 bk</t>
  </si>
  <si>
    <t>1106 bk</t>
  </si>
  <si>
    <t>1120 bk</t>
  </si>
  <si>
    <t>20 bk</t>
  </si>
  <si>
    <t>56 bk</t>
  </si>
  <si>
    <t>84 bk</t>
  </si>
  <si>
    <t>112 bk</t>
  </si>
  <si>
    <t>132 bk</t>
  </si>
  <si>
    <t>1020 bk</t>
  </si>
  <si>
    <t>1030 bk</t>
  </si>
  <si>
    <t>1056 bk</t>
  </si>
  <si>
    <t>1098 bk</t>
  </si>
  <si>
    <t>1132 bk</t>
  </si>
  <si>
    <t>24 bk</t>
  </si>
  <si>
    <t>34 bk</t>
  </si>
  <si>
    <t>72 bk</t>
  </si>
  <si>
    <t>100 bk</t>
  </si>
  <si>
    <t>104 bk</t>
  </si>
  <si>
    <t>1024 bk</t>
  </si>
  <si>
    <t>1034 bk</t>
  </si>
  <si>
    <t>1048 bk</t>
  </si>
  <si>
    <t>1072 bk</t>
  </si>
  <si>
    <t>1088 bk</t>
  </si>
  <si>
    <t>28 rh</t>
  </si>
  <si>
    <t>40 rh</t>
  </si>
  <si>
    <t>128 rh</t>
  </si>
  <si>
    <t>133 rh</t>
  </si>
  <si>
    <t>140 rh</t>
  </si>
  <si>
    <t>1018 rh</t>
  </si>
  <si>
    <t>1028 rh</t>
  </si>
  <si>
    <t>1040 rh</t>
  </si>
  <si>
    <t>1080 rh</t>
  </si>
  <si>
    <t>1094 rh</t>
  </si>
  <si>
    <t>26 rh</t>
  </si>
  <si>
    <t>38 rh</t>
  </si>
  <si>
    <t>62 rh</t>
  </si>
  <si>
    <t>92 rh</t>
  </si>
  <si>
    <t>106 rh</t>
  </si>
  <si>
    <t>1026 rh</t>
  </si>
  <si>
    <t>1076 rh</t>
  </si>
  <si>
    <t>1092 rh</t>
  </si>
  <si>
    <t>1106 rh</t>
  </si>
  <si>
    <t>1120 rh</t>
  </si>
  <si>
    <t>20 rh</t>
  </si>
  <si>
    <t>56 rh</t>
  </si>
  <si>
    <t>84 rh</t>
  </si>
  <si>
    <t>112 rh</t>
  </si>
  <si>
    <t>132 rh</t>
  </si>
  <si>
    <t>1020 rh</t>
  </si>
  <si>
    <t>1030 rh</t>
  </si>
  <si>
    <t>1056 rh</t>
  </si>
  <si>
    <t>1098 rh</t>
  </si>
  <si>
    <t>1132 rh</t>
  </si>
  <si>
    <t>24 rh</t>
  </si>
  <si>
    <t>34 rh</t>
  </si>
  <si>
    <t>72 rh</t>
  </si>
  <si>
    <t>100 rh</t>
  </si>
  <si>
    <t>104 rh</t>
  </si>
  <si>
    <t>1024 rh</t>
  </si>
  <si>
    <t>1034 rh</t>
  </si>
  <si>
    <t>1048 rh</t>
  </si>
  <si>
    <t>1072 rh</t>
  </si>
  <si>
    <t>1088 rh</t>
  </si>
  <si>
    <t>32 li</t>
  </si>
  <si>
    <t>70 li</t>
  </si>
  <si>
    <t>86 li</t>
  </si>
  <si>
    <t>102 li</t>
  </si>
  <si>
    <t>122 li</t>
  </si>
  <si>
    <t>1032 li</t>
  </si>
  <si>
    <t>1070 li</t>
  </si>
  <si>
    <t>1086 li</t>
  </si>
  <si>
    <t>1102 li</t>
  </si>
  <si>
    <t>1134 li</t>
  </si>
  <si>
    <t>50 li</t>
  </si>
  <si>
    <t>74 li</t>
  </si>
  <si>
    <t>82 li</t>
  </si>
  <si>
    <t>108 li</t>
  </si>
  <si>
    <t>130 li</t>
  </si>
  <si>
    <t>1046 li</t>
  </si>
  <si>
    <t>1058 li</t>
  </si>
  <si>
    <t>1074 li</t>
  </si>
  <si>
    <t>1107 li</t>
  </si>
  <si>
    <t>1108 li</t>
  </si>
  <si>
    <t>36 li</t>
  </si>
  <si>
    <t>90 li</t>
  </si>
  <si>
    <t>118 li</t>
  </si>
  <si>
    <t>126 li</t>
  </si>
  <si>
    <t>144 li</t>
  </si>
  <si>
    <t>1004 li</t>
  </si>
  <si>
    <t>1064 li</t>
  </si>
  <si>
    <t>1118 li</t>
  </si>
  <si>
    <t>1126 li</t>
  </si>
  <si>
    <t>1144 li</t>
  </si>
  <si>
    <t>22 li</t>
  </si>
  <si>
    <t>60 li</t>
  </si>
  <si>
    <t>78 li</t>
  </si>
  <si>
    <t>96 li</t>
  </si>
  <si>
    <t>124 li</t>
  </si>
  <si>
    <t>1022 li</t>
  </si>
  <si>
    <t>1060 li</t>
  </si>
  <si>
    <t>1096 li</t>
  </si>
  <si>
    <t>1114 li</t>
  </si>
  <si>
    <t>1124 li</t>
  </si>
  <si>
    <t>32 lo</t>
  </si>
  <si>
    <t>70 lo</t>
  </si>
  <si>
    <t>86 lo</t>
  </si>
  <si>
    <t>102 lo</t>
  </si>
  <si>
    <t>122 lo</t>
  </si>
  <si>
    <t>1032 lo</t>
  </si>
  <si>
    <t>1070 lo</t>
  </si>
  <si>
    <t>1086 lo</t>
  </si>
  <si>
    <t>1102 lo</t>
  </si>
  <si>
    <t>1134 lo</t>
  </si>
  <si>
    <t>50 lo</t>
  </si>
  <si>
    <t>74 lo</t>
  </si>
  <si>
    <t>82 lo</t>
  </si>
  <si>
    <t>108 lo</t>
  </si>
  <si>
    <t>130 lo</t>
  </si>
  <si>
    <t>1046 lo</t>
  </si>
  <si>
    <t>1058 lo</t>
  </si>
  <si>
    <t>1074 lo</t>
  </si>
  <si>
    <t>1107 lo</t>
  </si>
  <si>
    <t>1108 lo</t>
  </si>
  <si>
    <t>36 lo</t>
  </si>
  <si>
    <t>90 lo</t>
  </si>
  <si>
    <t>118 lo</t>
  </si>
  <si>
    <t>126 lo</t>
  </si>
  <si>
    <t>144 lo</t>
  </si>
  <si>
    <t>1004 lo</t>
  </si>
  <si>
    <t>1064 lo</t>
  </si>
  <si>
    <t>1118 lo</t>
  </si>
  <si>
    <t>1126 lo</t>
  </si>
  <si>
    <t>1144 lo</t>
  </si>
  <si>
    <t>22 lo</t>
  </si>
  <si>
    <t>60 lo</t>
  </si>
  <si>
    <t>78 lo</t>
  </si>
  <si>
    <t>96 lo</t>
  </si>
  <si>
    <t>124 lo</t>
  </si>
  <si>
    <t>1022 lo</t>
  </si>
  <si>
    <t>1060 lo</t>
  </si>
  <si>
    <t>1096 lo</t>
  </si>
  <si>
    <t>1114 lo</t>
  </si>
  <si>
    <t>1124 lo</t>
  </si>
  <si>
    <t>32 ro</t>
  </si>
  <si>
    <t>70 ro</t>
  </si>
  <si>
    <t>86 ro</t>
  </si>
  <si>
    <t>102 ro</t>
  </si>
  <si>
    <t>122 ro</t>
  </si>
  <si>
    <t>1032 ro</t>
  </si>
  <si>
    <t>1070 ro</t>
  </si>
  <si>
    <t>1086 ro</t>
  </si>
  <si>
    <t>1102 ro</t>
  </si>
  <si>
    <t>1134 ro</t>
  </si>
  <si>
    <t>50 ro</t>
  </si>
  <si>
    <t>74 ro</t>
  </si>
  <si>
    <t>82 ro</t>
  </si>
  <si>
    <t>108 ro</t>
  </si>
  <si>
    <t>1046 ro</t>
  </si>
  <si>
    <t>1058 ro</t>
  </si>
  <si>
    <t>1074 ro</t>
  </si>
  <si>
    <t>1107 ro</t>
  </si>
  <si>
    <t>1108 ro</t>
  </si>
  <si>
    <t>36 ro</t>
  </si>
  <si>
    <t>90 ro</t>
  </si>
  <si>
    <t>118 ro</t>
  </si>
  <si>
    <t>126 ro</t>
  </si>
  <si>
    <t>144 ro</t>
  </si>
  <si>
    <t>1004 ro</t>
  </si>
  <si>
    <t>1064 ro</t>
  </si>
  <si>
    <t>1118 ro</t>
  </si>
  <si>
    <t>1126 ro</t>
  </si>
  <si>
    <t>1144 ro</t>
  </si>
  <si>
    <t>22 ro</t>
  </si>
  <si>
    <t>60 ro</t>
  </si>
  <si>
    <t>78 ro</t>
  </si>
  <si>
    <t>96 ro</t>
  </si>
  <si>
    <t>124 ro</t>
  </si>
  <si>
    <t>1022 ro</t>
  </si>
  <si>
    <t>1060 ro</t>
  </si>
  <si>
    <t>1096 ro</t>
  </si>
  <si>
    <t>1114 ro</t>
  </si>
  <si>
    <t>1124 ro</t>
  </si>
  <si>
    <t>32 ri</t>
  </si>
  <si>
    <t>70 ri</t>
  </si>
  <si>
    <t>86 ri</t>
  </si>
  <si>
    <t>102 ri</t>
  </si>
  <si>
    <t>122 ri</t>
  </si>
  <si>
    <t>1032 ri</t>
  </si>
  <si>
    <t>1070 ri</t>
  </si>
  <si>
    <t>1086 ri</t>
  </si>
  <si>
    <t>1102 ri</t>
  </si>
  <si>
    <t>1134 ri</t>
  </si>
  <si>
    <t>50 ri</t>
  </si>
  <si>
    <t>74 ri</t>
  </si>
  <si>
    <t>82 ri</t>
  </si>
  <si>
    <t>108 ri</t>
  </si>
  <si>
    <t>130 ri</t>
  </si>
  <si>
    <t>1046 ri</t>
  </si>
  <si>
    <t>1058 ri</t>
  </si>
  <si>
    <t>1074 ri</t>
  </si>
  <si>
    <t>1107 ri</t>
  </si>
  <si>
    <t>1108 ri</t>
  </si>
  <si>
    <t>36 ri</t>
  </si>
  <si>
    <t>90 ri</t>
  </si>
  <si>
    <t>118 ri</t>
  </si>
  <si>
    <t>126 ri</t>
  </si>
  <si>
    <t>144 ri</t>
  </si>
  <si>
    <t>1004 ri</t>
  </si>
  <si>
    <t>1064 ri</t>
  </si>
  <si>
    <t>1118 ri</t>
  </si>
  <si>
    <t>1126 ri</t>
  </si>
  <si>
    <t>1144 ri</t>
  </si>
  <si>
    <t>22 ri</t>
  </si>
  <si>
    <t>60 ri</t>
  </si>
  <si>
    <t>78 ri</t>
  </si>
  <si>
    <t>96 ri</t>
  </si>
  <si>
    <t>124 ri</t>
  </si>
  <si>
    <t>1022 ri</t>
  </si>
  <si>
    <t>1060 ri</t>
  </si>
  <si>
    <t>1096 ri</t>
  </si>
  <si>
    <t>1114 ri</t>
  </si>
  <si>
    <t>1124 ri</t>
  </si>
  <si>
    <t>74 ro b</t>
  </si>
  <si>
    <t>74 bis</t>
  </si>
  <si>
    <t>see 74_root_ecto</t>
  </si>
  <si>
    <t>empty</t>
  </si>
  <si>
    <t>?</t>
  </si>
  <si>
    <t>location dry leaf</t>
  </si>
  <si>
    <t>location dry stem</t>
  </si>
  <si>
    <t>location dry root</t>
  </si>
  <si>
    <t>location dry soil humidity</t>
  </si>
  <si>
    <t>dijon_room_n117_eppendorf_2ml(iono)</t>
  </si>
  <si>
    <t>dijon_room_n117_falcon_50ml</t>
  </si>
  <si>
    <t>dijon_room_n117_bag</t>
  </si>
  <si>
    <t>id</t>
  </si>
  <si>
    <t>Colonne1</t>
  </si>
  <si>
    <t>j'ai en -20 ?</t>
  </si>
  <si>
    <t>compartment</t>
  </si>
  <si>
    <t>Bulk soil</t>
  </si>
  <si>
    <t>Pool</t>
  </si>
  <si>
    <t>19-20</t>
  </si>
  <si>
    <t>23-24</t>
  </si>
  <si>
    <t>25-26</t>
  </si>
  <si>
    <t>33-34</t>
  </si>
  <si>
    <t>41-42</t>
  </si>
  <si>
    <t>61-62</t>
  </si>
  <si>
    <t>83-84</t>
  </si>
  <si>
    <t>87-88</t>
  </si>
  <si>
    <t>93-94</t>
  </si>
  <si>
    <t>99-100</t>
  </si>
  <si>
    <t>105-106</t>
  </si>
  <si>
    <t>109-110</t>
  </si>
  <si>
    <t>111-112</t>
  </si>
  <si>
    <t>127-128</t>
  </si>
  <si>
    <t>131-132</t>
  </si>
  <si>
    <t>139-140</t>
  </si>
  <si>
    <t>1017-1018</t>
  </si>
  <si>
    <t>1023-1024</t>
  </si>
  <si>
    <t>1033-1034</t>
  </si>
  <si>
    <t>1039-1040</t>
  </si>
  <si>
    <t>1043-1044</t>
  </si>
  <si>
    <t>1071-1072</t>
  </si>
  <si>
    <t>1075-1076</t>
  </si>
  <si>
    <t>1083-1084</t>
  </si>
  <si>
    <t>1091-1092</t>
  </si>
  <si>
    <t>1093-1094</t>
  </si>
  <si>
    <t>1103-1104</t>
  </si>
  <si>
    <t>1105-1106</t>
  </si>
  <si>
    <t>1109-1110</t>
  </si>
  <si>
    <t>1111-1112</t>
  </si>
  <si>
    <t>1119-1120</t>
  </si>
  <si>
    <t>1131-1132</t>
  </si>
  <si>
    <t>Rhizosphere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</si>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</sst>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ourier New"/>
      <family val="3"/>
    </font>
    <font>
      <b/>
      <sz val="11"/>
      <color theme="1"/>
      <name val="Courier New"/>
      <family val="3"/>
    </font>
    <font>
      <b/>
      <sz val="10"/>
      <color rgb="FFFF0000"/>
      <name val="Courier New"/>
      <family val="3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92F6"/>
        <bgColor indexed="64"/>
      </patternFill>
    </fill>
    <fill>
      <patternFill patternType="solid">
        <fgColor rgb="FF8CD7EC"/>
        <bgColor indexed="64"/>
      </patternFill>
    </fill>
    <fill>
      <patternFill patternType="solid">
        <fgColor rgb="FFBF95D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A4C2F4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5" borderId="0"/>
    <xf numFmtId="0" fontId="7" fillId="7" borderId="0" applyNumberFormat="0" applyBorder="0" applyAlignment="0" applyProtection="0"/>
  </cellStyleXfs>
  <cellXfs count="16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 applyAlignment="1">
      <alignment horizontal="left"/>
    </xf>
    <xf numFmtId="0" fontId="2" fillId="0" borderId="0" xfId="0" applyFont="1"/>
    <xf numFmtId="14" fontId="2" fillId="0" borderId="0" xfId="0" applyNumberFormat="1" applyFont="1" applyAlignment="1">
      <alignment horizontal="left"/>
    </xf>
    <xf numFmtId="14" fontId="2" fillId="3" borderId="0" xfId="0" applyNumberFormat="1" applyFont="1" applyFill="1" applyAlignment="1">
      <alignment horizontal="left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4" fillId="0" borderId="0" xfId="0" applyFont="1"/>
    <xf numFmtId="0" fontId="1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1" fillId="0" borderId="1" xfId="0" applyFont="1" applyBorder="1"/>
    <xf numFmtId="0" fontId="2" fillId="4" borderId="1" xfId="0" applyFont="1" applyFill="1" applyBorder="1"/>
    <xf numFmtId="14" fontId="2" fillId="4" borderId="1" xfId="0" applyNumberFormat="1" applyFont="1" applyFill="1" applyBorder="1" applyAlignment="1">
      <alignment horizontal="left"/>
    </xf>
    <xf numFmtId="0" fontId="1" fillId="4" borderId="1" xfId="0" applyFont="1" applyFill="1" applyBorder="1"/>
    <xf numFmtId="0" fontId="2" fillId="4" borderId="2" xfId="0" applyFont="1" applyFill="1" applyBorder="1"/>
    <xf numFmtId="0" fontId="2" fillId="0" borderId="2" xfId="0" applyFont="1" applyBorder="1"/>
    <xf numFmtId="0" fontId="1" fillId="2" borderId="4" xfId="0" applyFont="1" applyFill="1" applyBorder="1"/>
    <xf numFmtId="0" fontId="2" fillId="4" borderId="4" xfId="0" applyFont="1" applyFill="1" applyBorder="1"/>
    <xf numFmtId="0" fontId="2" fillId="0" borderId="4" xfId="0" applyFont="1" applyBorder="1"/>
    <xf numFmtId="0" fontId="1" fillId="2" borderId="5" xfId="0" applyFont="1" applyFill="1" applyBorder="1"/>
    <xf numFmtId="14" fontId="1" fillId="2" borderId="5" xfId="0" applyNumberFormat="1" applyFont="1" applyFill="1" applyBorder="1" applyAlignment="1">
      <alignment horizontal="left"/>
    </xf>
    <xf numFmtId="0" fontId="2" fillId="4" borderId="5" xfId="0" applyFont="1" applyFill="1" applyBorder="1"/>
    <xf numFmtId="14" fontId="2" fillId="4" borderId="5" xfId="0" applyNumberFormat="1" applyFont="1" applyFill="1" applyBorder="1" applyAlignment="1">
      <alignment horizontal="left"/>
    </xf>
    <xf numFmtId="14" fontId="2" fillId="3" borderId="5" xfId="0" applyNumberFormat="1" applyFont="1" applyFill="1" applyBorder="1" applyAlignment="1">
      <alignment horizontal="left"/>
    </xf>
    <xf numFmtId="0" fontId="1" fillId="4" borderId="5" xfId="0" applyFont="1" applyFill="1" applyBorder="1"/>
    <xf numFmtId="0" fontId="2" fillId="0" borderId="5" xfId="0" applyFont="1" applyBorder="1"/>
    <xf numFmtId="14" fontId="2" fillId="0" borderId="5" xfId="0" applyNumberFormat="1" applyFont="1" applyBorder="1" applyAlignment="1">
      <alignment horizontal="left"/>
    </xf>
    <xf numFmtId="0" fontId="1" fillId="0" borderId="5" xfId="0" applyFont="1" applyBorder="1"/>
    <xf numFmtId="0" fontId="1" fillId="2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5" xfId="0" applyFont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left" wrapText="1"/>
    </xf>
    <xf numFmtId="0" fontId="1" fillId="2" borderId="2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6" fillId="5" borderId="0" xfId="1"/>
    <xf numFmtId="0" fontId="7" fillId="8" borderId="0" xfId="2" applyFill="1"/>
    <xf numFmtId="0" fontId="0" fillId="8" borderId="0" xfId="0" applyFill="1"/>
    <xf numFmtId="0" fontId="0" fillId="9" borderId="0" xfId="0" applyFill="1"/>
    <xf numFmtId="20" fontId="2" fillId="0" borderId="0" xfId="0" applyNumberFormat="1" applyFont="1" applyAlignment="1">
      <alignment horizontal="left"/>
    </xf>
    <xf numFmtId="20" fontId="2" fillId="4" borderId="1" xfId="0" applyNumberFormat="1" applyFont="1" applyFill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0" fontId="0" fillId="4" borderId="1" xfId="0" applyFont="1" applyFill="1" applyBorder="1"/>
    <xf numFmtId="0" fontId="0" fillId="0" borderId="1" xfId="0" applyFont="1" applyBorder="1"/>
    <xf numFmtId="0" fontId="1" fillId="2" borderId="6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14" fontId="1" fillId="2" borderId="6" xfId="0" applyNumberFormat="1" applyFont="1" applyFill="1" applyBorder="1" applyAlignment="1">
      <alignment horizontal="left" wrapText="1"/>
    </xf>
    <xf numFmtId="0" fontId="2" fillId="0" borderId="7" xfId="0" applyFont="1" applyBorder="1"/>
    <xf numFmtId="0" fontId="2" fillId="0" borderId="9" xfId="0" applyFont="1" applyBorder="1"/>
    <xf numFmtId="14" fontId="2" fillId="3" borderId="7" xfId="0" applyNumberFormat="1" applyFont="1" applyFill="1" applyBorder="1" applyAlignment="1">
      <alignment horizontal="left"/>
    </xf>
    <xf numFmtId="0" fontId="0" fillId="0" borderId="7" xfId="0" applyFont="1" applyBorder="1"/>
    <xf numFmtId="14" fontId="2" fillId="0" borderId="7" xfId="0" applyNumberFormat="1" applyFont="1" applyBorder="1" applyAlignment="1">
      <alignment horizontal="left"/>
    </xf>
    <xf numFmtId="20" fontId="2" fillId="0" borderId="7" xfId="0" applyNumberFormat="1" applyFont="1" applyBorder="1" applyAlignment="1">
      <alignment horizontal="left"/>
    </xf>
    <xf numFmtId="0" fontId="1" fillId="6" borderId="1" xfId="0" applyFont="1" applyFill="1" applyBorder="1"/>
    <xf numFmtId="0" fontId="2" fillId="6" borderId="1" xfId="0" applyFont="1" applyFill="1" applyBorder="1"/>
    <xf numFmtId="0" fontId="1" fillId="10" borderId="1" xfId="0" applyFont="1" applyFill="1" applyBorder="1"/>
    <xf numFmtId="0" fontId="2" fillId="10" borderId="1" xfId="0" applyFont="1" applyFill="1" applyBorder="1"/>
    <xf numFmtId="0" fontId="1" fillId="6" borderId="7" xfId="0" applyFont="1" applyFill="1" applyBorder="1"/>
    <xf numFmtId="0" fontId="2" fillId="6" borderId="7" xfId="0" applyFont="1" applyFill="1" applyBorder="1"/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6" borderId="7" xfId="0" applyFont="1" applyFill="1" applyBorder="1" applyAlignment="1">
      <alignment wrapText="1"/>
    </xf>
    <xf numFmtId="0" fontId="8" fillId="0" borderId="1" xfId="0" applyFont="1" applyBorder="1"/>
    <xf numFmtId="0" fontId="8" fillId="4" borderId="1" xfId="0" applyFont="1" applyFill="1" applyBorder="1"/>
    <xf numFmtId="0" fontId="8" fillId="6" borderId="1" xfId="0" applyFont="1" applyFill="1" applyBorder="1"/>
    <xf numFmtId="0" fontId="8" fillId="0" borderId="7" xfId="0" applyFont="1" applyBorder="1"/>
    <xf numFmtId="0" fontId="8" fillId="0" borderId="0" xfId="0" applyFont="1"/>
    <xf numFmtId="20" fontId="0" fillId="0" borderId="0" xfId="0" applyNumberFormat="1"/>
    <xf numFmtId="164" fontId="2" fillId="0" borderId="0" xfId="0" applyNumberFormat="1" applyFont="1" applyAlignment="1">
      <alignment horizontal="left"/>
    </xf>
    <xf numFmtId="0" fontId="0" fillId="0" borderId="5" xfId="0" applyBorder="1"/>
    <xf numFmtId="20" fontId="2" fillId="0" borderId="5" xfId="0" applyNumberFormat="1" applyFont="1" applyBorder="1" applyAlignment="1">
      <alignment horizontal="left"/>
    </xf>
    <xf numFmtId="14" fontId="0" fillId="0" borderId="5" xfId="0" applyNumberFormat="1" applyBorder="1"/>
    <xf numFmtId="0" fontId="0" fillId="0" borderId="5" xfId="0" applyBorder="1" applyAlignment="1">
      <alignment wrapText="1"/>
    </xf>
    <xf numFmtId="14" fontId="1" fillId="2" borderId="10" xfId="0" applyNumberFormat="1" applyFont="1" applyFill="1" applyBorder="1" applyAlignment="1">
      <alignment horizontal="left"/>
    </xf>
    <xf numFmtId="0" fontId="1" fillId="2" borderId="11" xfId="0" applyFont="1" applyFill="1" applyBorder="1"/>
    <xf numFmtId="14" fontId="1" fillId="2" borderId="12" xfId="0" applyNumberFormat="1" applyFont="1" applyFill="1" applyBorder="1" applyAlignment="1">
      <alignment horizontal="left" wrapText="1"/>
    </xf>
    <xf numFmtId="0" fontId="1" fillId="2" borderId="12" xfId="0" applyFont="1" applyFill="1" applyBorder="1" applyAlignment="1">
      <alignment wrapText="1"/>
    </xf>
    <xf numFmtId="0" fontId="2" fillId="0" borderId="13" xfId="0" applyFont="1" applyBorder="1"/>
    <xf numFmtId="14" fontId="2" fillId="0" borderId="13" xfId="0" applyNumberFormat="1" applyFont="1" applyBorder="1" applyAlignment="1">
      <alignment horizontal="left"/>
    </xf>
    <xf numFmtId="0" fontId="1" fillId="0" borderId="13" xfId="0" applyFont="1" applyBorder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14" fontId="2" fillId="0" borderId="14" xfId="0" applyNumberFormat="1" applyFont="1" applyBorder="1" applyAlignment="1">
      <alignment horizontal="left"/>
    </xf>
    <xf numFmtId="0" fontId="1" fillId="0" borderId="14" xfId="0" applyFont="1" applyBorder="1"/>
    <xf numFmtId="0" fontId="2" fillId="0" borderId="14" xfId="0" applyFont="1" applyBorder="1" applyAlignment="1">
      <alignment wrapText="1"/>
    </xf>
    <xf numFmtId="0" fontId="6" fillId="5" borderId="14" xfId="1" applyBorder="1" applyAlignment="1">
      <alignment wrapText="1"/>
    </xf>
    <xf numFmtId="0" fontId="2" fillId="0" borderId="15" xfId="0" applyFont="1" applyBorder="1"/>
    <xf numFmtId="14" fontId="2" fillId="0" borderId="15" xfId="0" applyNumberFormat="1" applyFont="1" applyBorder="1" applyAlignment="1">
      <alignment horizontal="left"/>
    </xf>
    <xf numFmtId="0" fontId="1" fillId="0" borderId="15" xfId="0" applyFont="1" applyBorder="1"/>
    <xf numFmtId="0" fontId="2" fillId="0" borderId="15" xfId="0" applyFont="1" applyBorder="1" applyAlignment="1">
      <alignment wrapText="1"/>
    </xf>
    <xf numFmtId="0" fontId="1" fillId="0" borderId="15" xfId="0" applyFont="1" applyFill="1" applyBorder="1"/>
    <xf numFmtId="0" fontId="2" fillId="0" borderId="15" xfId="0" applyFont="1" applyFill="1" applyBorder="1"/>
    <xf numFmtId="0" fontId="2" fillId="0" borderId="0" xfId="0" applyFont="1" applyAlignment="1">
      <alignment wrapText="1"/>
    </xf>
    <xf numFmtId="0" fontId="9" fillId="0" borderId="0" xfId="0" applyFont="1"/>
    <xf numFmtId="0" fontId="10" fillId="12" borderId="16" xfId="0" applyFont="1" applyFill="1" applyBorder="1" applyAlignment="1">
      <alignment wrapText="1"/>
    </xf>
    <xf numFmtId="0" fontId="10" fillId="12" borderId="17" xfId="0" applyFont="1" applyFill="1" applyBorder="1" applyAlignment="1">
      <alignment horizontal="center" wrapText="1"/>
    </xf>
    <xf numFmtId="0" fontId="10" fillId="12" borderId="18" xfId="0" applyFont="1" applyFill="1" applyBorder="1" applyAlignment="1">
      <alignment horizontal="right" wrapText="1"/>
    </xf>
    <xf numFmtId="0" fontId="10" fillId="12" borderId="19" xfId="0" applyFont="1" applyFill="1" applyBorder="1" applyAlignment="1">
      <alignment horizontal="right" wrapText="1"/>
    </xf>
    <xf numFmtId="0" fontId="10" fillId="12" borderId="19" xfId="0" applyFont="1" applyFill="1" applyBorder="1" applyAlignment="1">
      <alignment wrapText="1"/>
    </xf>
    <xf numFmtId="0" fontId="10" fillId="13" borderId="20" xfId="0" applyFont="1" applyFill="1" applyBorder="1" applyAlignment="1">
      <alignment wrapText="1"/>
    </xf>
    <xf numFmtId="0" fontId="10" fillId="13" borderId="17" xfId="0" applyFont="1" applyFill="1" applyBorder="1" applyAlignment="1">
      <alignment wrapText="1"/>
    </xf>
    <xf numFmtId="0" fontId="10" fillId="14" borderId="17" xfId="0" applyFont="1" applyFill="1" applyBorder="1" applyAlignment="1">
      <alignment wrapText="1"/>
    </xf>
    <xf numFmtId="0" fontId="10" fillId="15" borderId="17" xfId="0" applyFont="1" applyFill="1" applyBorder="1" applyAlignment="1">
      <alignment wrapText="1"/>
    </xf>
    <xf numFmtId="0" fontId="11" fillId="0" borderId="0" xfId="0" applyFont="1"/>
    <xf numFmtId="0" fontId="11" fillId="12" borderId="21" xfId="0" applyFont="1" applyFill="1" applyBorder="1" applyAlignment="1">
      <alignment wrapText="1"/>
    </xf>
    <xf numFmtId="0" fontId="11" fillId="12" borderId="18" xfId="0" applyFont="1" applyFill="1" applyBorder="1" applyAlignment="1">
      <alignment horizontal="center" wrapText="1"/>
    </xf>
    <xf numFmtId="0" fontId="10" fillId="16" borderId="18" xfId="0" applyFont="1" applyFill="1" applyBorder="1" applyAlignment="1">
      <alignment horizontal="right" wrapText="1"/>
    </xf>
    <xf numFmtId="0" fontId="10" fillId="16" borderId="19" xfId="0" applyFont="1" applyFill="1" applyBorder="1" applyAlignment="1">
      <alignment horizontal="right" wrapText="1"/>
    </xf>
    <xf numFmtId="0" fontId="11" fillId="16" borderId="19" xfId="0" applyFont="1" applyFill="1" applyBorder="1" applyAlignment="1">
      <alignment wrapText="1"/>
    </xf>
    <xf numFmtId="14" fontId="11" fillId="16" borderId="19" xfId="0" applyNumberFormat="1" applyFont="1" applyFill="1" applyBorder="1" applyAlignment="1">
      <alignment horizontal="right" wrapText="1"/>
    </xf>
    <xf numFmtId="22" fontId="11" fillId="16" borderId="19" xfId="0" applyNumberFormat="1" applyFont="1" applyFill="1" applyBorder="1" applyAlignment="1">
      <alignment horizontal="right" wrapText="1"/>
    </xf>
    <xf numFmtId="0" fontId="11" fillId="16" borderId="19" xfId="0" applyFont="1" applyFill="1" applyBorder="1" applyAlignment="1">
      <alignment horizontal="right" wrapText="1"/>
    </xf>
    <xf numFmtId="0" fontId="11" fillId="11" borderId="18" xfId="0" applyFont="1" applyFill="1" applyBorder="1" applyAlignment="1">
      <alignment horizontal="center" wrapText="1"/>
    </xf>
    <xf numFmtId="0" fontId="11" fillId="19" borderId="18" xfId="0" applyFont="1" applyFill="1" applyBorder="1" applyAlignment="1">
      <alignment horizontal="center" wrapText="1"/>
    </xf>
    <xf numFmtId="0" fontId="11" fillId="13" borderId="21" xfId="0" applyFont="1" applyFill="1" applyBorder="1" applyAlignment="1">
      <alignment wrapText="1"/>
    </xf>
    <xf numFmtId="0" fontId="11" fillId="21" borderId="19" xfId="0" applyFont="1" applyFill="1" applyBorder="1" applyAlignment="1">
      <alignment horizontal="right" wrapText="1"/>
    </xf>
    <xf numFmtId="0" fontId="10" fillId="17" borderId="18" xfId="0" applyFont="1" applyFill="1" applyBorder="1" applyAlignment="1">
      <alignment horizontal="right" wrapText="1"/>
    </xf>
    <xf numFmtId="0" fontId="10" fillId="18" borderId="18" xfId="0" applyFont="1" applyFill="1" applyBorder="1" applyAlignment="1">
      <alignment horizontal="right" wrapText="1"/>
    </xf>
    <xf numFmtId="0" fontId="10" fillId="18" borderId="19" xfId="0" applyFont="1" applyFill="1" applyBorder="1" applyAlignment="1">
      <alignment horizontal="right" wrapText="1"/>
    </xf>
    <xf numFmtId="0" fontId="11" fillId="18" borderId="19" xfId="0" applyFont="1" applyFill="1" applyBorder="1" applyAlignment="1">
      <alignment wrapText="1"/>
    </xf>
    <xf numFmtId="14" fontId="11" fillId="18" borderId="19" xfId="0" applyNumberFormat="1" applyFont="1" applyFill="1" applyBorder="1" applyAlignment="1">
      <alignment horizontal="right" wrapText="1"/>
    </xf>
    <xf numFmtId="22" fontId="11" fillId="18" borderId="19" xfId="0" applyNumberFormat="1" applyFont="1" applyFill="1" applyBorder="1" applyAlignment="1">
      <alignment horizontal="right" wrapText="1"/>
    </xf>
    <xf numFmtId="0" fontId="11" fillId="18" borderId="19" xfId="0" applyFont="1" applyFill="1" applyBorder="1" applyAlignment="1">
      <alignment horizontal="right" wrapText="1"/>
    </xf>
    <xf numFmtId="0" fontId="11" fillId="18" borderId="19" xfId="0" applyFont="1" applyFill="1" applyBorder="1" applyAlignment="1">
      <alignment vertical="center"/>
    </xf>
    <xf numFmtId="0" fontId="11" fillId="23" borderId="18" xfId="0" applyFont="1" applyFill="1" applyBorder="1" applyAlignment="1">
      <alignment wrapText="1"/>
    </xf>
    <xf numFmtId="0" fontId="11" fillId="16" borderId="19" xfId="0" applyFont="1" applyFill="1" applyBorder="1" applyAlignment="1">
      <alignment vertical="center"/>
    </xf>
    <xf numFmtId="0" fontId="11" fillId="20" borderId="18" xfId="0" applyFont="1" applyFill="1" applyBorder="1" applyAlignment="1">
      <alignment wrapText="1"/>
    </xf>
    <xf numFmtId="0" fontId="10" fillId="18" borderId="19" xfId="0" applyFont="1" applyFill="1" applyBorder="1" applyAlignment="1">
      <alignment wrapText="1"/>
    </xf>
    <xf numFmtId="0" fontId="11" fillId="22" borderId="19" xfId="0" applyFont="1" applyFill="1" applyBorder="1" applyAlignment="1">
      <alignment horizontal="right" wrapText="1"/>
    </xf>
    <xf numFmtId="0" fontId="13" fillId="12" borderId="18" xfId="0" applyFont="1" applyFill="1" applyBorder="1" applyAlignment="1">
      <alignment horizontal="right" wrapText="1"/>
    </xf>
    <xf numFmtId="0" fontId="14" fillId="0" borderId="5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5" xfId="0" applyFont="1" applyBorder="1" applyAlignment="1">
      <alignment wrapText="1"/>
    </xf>
    <xf numFmtId="164" fontId="2" fillId="0" borderId="5" xfId="0" applyNumberFormat="1" applyFont="1" applyBorder="1" applyAlignment="1">
      <alignment horizontal="left"/>
    </xf>
    <xf numFmtId="0" fontId="0" fillId="3" borderId="5" xfId="0" applyFont="1" applyFill="1" applyBorder="1"/>
    <xf numFmtId="0" fontId="17" fillId="0" borderId="5" xfId="0" applyFont="1" applyBorder="1"/>
    <xf numFmtId="0" fontId="16" fillId="0" borderId="5" xfId="0" applyFont="1" applyBorder="1"/>
    <xf numFmtId="0" fontId="16" fillId="0" borderId="13" xfId="0" applyFont="1" applyBorder="1"/>
    <xf numFmtId="0" fontId="17" fillId="0" borderId="22" xfId="0" applyFont="1" applyBorder="1"/>
    <xf numFmtId="0" fontId="17" fillId="0" borderId="13" xfId="0" applyFont="1" applyBorder="1"/>
    <xf numFmtId="0" fontId="17" fillId="0" borderId="23" xfId="0" applyFont="1" applyBorder="1"/>
    <xf numFmtId="0" fontId="17" fillId="0" borderId="10" xfId="0" applyFont="1" applyBorder="1"/>
    <xf numFmtId="0" fontId="17" fillId="0" borderId="12" xfId="0" applyFont="1" applyBorder="1"/>
    <xf numFmtId="0" fontId="16" fillId="0" borderId="14" xfId="0" applyFont="1" applyBorder="1"/>
    <xf numFmtId="0" fontId="16" fillId="0" borderId="24" xfId="0" applyFont="1" applyBorder="1"/>
    <xf numFmtId="0" fontId="16" fillId="0" borderId="25" xfId="0" applyFont="1" applyBorder="1"/>
    <xf numFmtId="0" fontId="12" fillId="0" borderId="5" xfId="0" applyFont="1" applyBorder="1" applyAlignment="1">
      <alignment horizontal="center" wrapText="1"/>
    </xf>
  </cellXfs>
  <cellStyles count="3">
    <cellStyle name="dark_background" xfId="1" xr:uid="{73D7E581-EE39-4073-950E-2CA0DD57E8EB}"/>
    <cellStyle name="Neutre" xfId="2" builtinId="28"/>
    <cellStyle name="Normal" xfId="0" builtinId="0"/>
  </cellStyles>
  <dxfs count="227">
    <dxf>
      <fill>
        <patternFill>
          <bgColor rgb="FFFF0000"/>
        </patternFill>
      </fill>
    </dxf>
    <dxf>
      <fill>
        <patternFill>
          <bgColor rgb="FFFF7575"/>
        </patternFill>
      </fill>
    </dxf>
    <dxf>
      <fill>
        <patternFill>
          <bgColor rgb="FF15FF7F"/>
        </patternFill>
      </fill>
    </dxf>
    <dxf>
      <fill>
        <patternFill>
          <bgColor rgb="FF75C4FF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7575"/>
        </patternFill>
      </fill>
    </dxf>
    <dxf>
      <fill>
        <patternFill>
          <bgColor rgb="FF15FF7F"/>
        </patternFill>
      </fill>
    </dxf>
    <dxf>
      <fill>
        <patternFill>
          <bgColor rgb="FF75C4FF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7575"/>
        </patternFill>
      </fill>
    </dxf>
    <dxf>
      <fill>
        <patternFill>
          <bgColor rgb="FF15FF7F"/>
        </patternFill>
      </fill>
    </dxf>
    <dxf>
      <fill>
        <patternFill>
          <bgColor rgb="FF75C4FF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7575"/>
        </patternFill>
      </fill>
    </dxf>
    <dxf>
      <fill>
        <patternFill>
          <bgColor rgb="FF15FF7F"/>
        </patternFill>
      </fill>
    </dxf>
    <dxf>
      <fill>
        <patternFill>
          <bgColor rgb="FF75C4FF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7575"/>
        </patternFill>
      </fill>
    </dxf>
    <dxf>
      <fill>
        <patternFill>
          <bgColor rgb="FF15FF7F"/>
        </patternFill>
      </fill>
    </dxf>
    <dxf>
      <fill>
        <patternFill>
          <bgColor rgb="FF75C4FF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7575"/>
        </patternFill>
      </fill>
    </dxf>
    <dxf>
      <fill>
        <patternFill>
          <bgColor rgb="FF15FF7F"/>
        </patternFill>
      </fill>
    </dxf>
    <dxf>
      <fill>
        <patternFill>
          <bgColor rgb="FF75C4FF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auto="1"/>
      </font>
      <fill>
        <patternFill>
          <bgColor rgb="FFFF1D1D"/>
        </patternFill>
      </fill>
    </dxf>
    <dxf>
      <font>
        <color auto="1"/>
      </font>
      <fill>
        <patternFill>
          <bgColor rgb="FFFF66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auto="1"/>
          <bgColor rgb="FFD29A6C"/>
        </patternFill>
      </fill>
    </dxf>
    <dxf>
      <font>
        <color rgb="FF9C0006"/>
      </font>
      <fill>
        <patternFill>
          <bgColor rgb="FFFFFF99"/>
        </patternFill>
      </fill>
    </dxf>
    <dxf>
      <font>
        <color auto="1"/>
      </font>
      <fill>
        <patternFill>
          <bgColor rgb="FFBF95D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25" formatCode="hh:mm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5" formatCode="hh:mm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7575"/>
      <color rgb="FF75C4FF"/>
      <color rgb="FF15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[plant_information.xlsx]microbio_contamination!Tableau croisé dynamique1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microbio_contamination!$U$1</c:f>
              <c:strCache>
                <c:ptCount val="1"/>
                <c:pt idx="0">
                  <c:v>Somme de conta_TSA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microbio_contamination!$T$2:$T$15</c:f>
              <c:multiLvlStrCache>
                <c:ptCount val="8"/>
                <c:lvl>
                  <c:pt idx="0">
                    <c:v>HS</c:v>
                  </c:pt>
                  <c:pt idx="1">
                    <c:v>OT</c:v>
                  </c:pt>
                  <c:pt idx="2">
                    <c:v>HS</c:v>
                  </c:pt>
                  <c:pt idx="3">
                    <c:v>OT</c:v>
                  </c:pt>
                  <c:pt idx="4">
                    <c:v>HS</c:v>
                  </c:pt>
                  <c:pt idx="5">
                    <c:v>OT</c:v>
                  </c:pt>
                  <c:pt idx="6">
                    <c:v>HS</c:v>
                  </c:pt>
                  <c:pt idx="7">
                    <c:v>OT</c:v>
                  </c:pt>
                </c:lvl>
                <c:lvl>
                  <c:pt idx="0">
                    <c:v>WS</c:v>
                  </c:pt>
                  <c:pt idx="2">
                    <c:v>WW</c:v>
                  </c:pt>
                  <c:pt idx="4">
                    <c:v>WS</c:v>
                  </c:pt>
                  <c:pt idx="6">
                    <c:v>WW</c:v>
                  </c:pt>
                </c:lvl>
                <c:lvl>
                  <c:pt idx="0">
                    <c:v>Stocata</c:v>
                  </c:pt>
                  <c:pt idx="4">
                    <c:v>Wendy</c:v>
                  </c:pt>
                </c:lvl>
              </c:multiLvlStrCache>
            </c:multiLvlStrRef>
          </c:cat>
          <c:val>
            <c:numRef>
              <c:f>microbio_contamination!$U$2:$U$15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8CF-8E2E-B46D21E2C5C7}"/>
            </c:ext>
          </c:extLst>
        </c:ser>
        <c:ser>
          <c:idx val="1"/>
          <c:order val="1"/>
          <c:tx>
            <c:strRef>
              <c:f>microbio_contamination!$V$1</c:f>
              <c:strCache>
                <c:ptCount val="1"/>
                <c:pt idx="0">
                  <c:v>Somme de conta_malteAgar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microbio_contamination!$T$2:$T$15</c:f>
              <c:multiLvlStrCache>
                <c:ptCount val="8"/>
                <c:lvl>
                  <c:pt idx="0">
                    <c:v>HS</c:v>
                  </c:pt>
                  <c:pt idx="1">
                    <c:v>OT</c:v>
                  </c:pt>
                  <c:pt idx="2">
                    <c:v>HS</c:v>
                  </c:pt>
                  <c:pt idx="3">
                    <c:v>OT</c:v>
                  </c:pt>
                  <c:pt idx="4">
                    <c:v>HS</c:v>
                  </c:pt>
                  <c:pt idx="5">
                    <c:v>OT</c:v>
                  </c:pt>
                  <c:pt idx="6">
                    <c:v>HS</c:v>
                  </c:pt>
                  <c:pt idx="7">
                    <c:v>OT</c:v>
                  </c:pt>
                </c:lvl>
                <c:lvl>
                  <c:pt idx="0">
                    <c:v>WS</c:v>
                  </c:pt>
                  <c:pt idx="2">
                    <c:v>WW</c:v>
                  </c:pt>
                  <c:pt idx="4">
                    <c:v>WS</c:v>
                  </c:pt>
                  <c:pt idx="6">
                    <c:v>WW</c:v>
                  </c:pt>
                </c:lvl>
                <c:lvl>
                  <c:pt idx="0">
                    <c:v>Stocata</c:v>
                  </c:pt>
                  <c:pt idx="4">
                    <c:v>Wendy</c:v>
                  </c:pt>
                </c:lvl>
              </c:multiLvlStrCache>
            </c:multiLvlStrRef>
          </c:cat>
          <c:val>
            <c:numRef>
              <c:f>microbio_contamination!$V$2:$V$15</c:f>
              <c:numCache>
                <c:formatCode>General</c:formatCode>
                <c:ptCount val="8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8CF-8E2E-B46D21E2C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992440"/>
        <c:axId val="600991784"/>
      </c:barChart>
      <c:catAx>
        <c:axId val="600992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991784"/>
        <c:crosses val="autoZero"/>
        <c:auto val="1"/>
        <c:lblAlgn val="ctr"/>
        <c:lblOffset val="100"/>
        <c:noMultiLvlLbl val="0"/>
      </c:catAx>
      <c:valAx>
        <c:axId val="60099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99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28</xdr:col>
      <xdr:colOff>117211</xdr:colOff>
      <xdr:row>2</xdr:row>
      <xdr:rowOff>91749</xdr:rowOff>
    </xdr:from>
    <xdr:to>
      <xdr:col>30</xdr:col>
      <xdr:colOff>513409</xdr:colOff>
      <xdr:row>15</xdr:row>
      <xdr:rowOff>135784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heat_condition">
              <a:extLst>
                <a:ext uri="{FF2B5EF4-FFF2-40B4-BE49-F238E27FC236}">
                  <a16:creationId xmlns:a16="http://schemas.microsoft.com/office/drawing/2014/main" id="{BF77802D-A2AC-41CE-979C-9D213230E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at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17811" y="828349"/>
              <a:ext cx="1920198" cy="2437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27</xdr:col>
      <xdr:colOff>437399</xdr:colOff>
      <xdr:row>35</xdr:row>
      <xdr:rowOff>65178</xdr:rowOff>
    </xdr:from>
    <xdr:to>
      <xdr:col>30</xdr:col>
      <xdr:colOff>73328</xdr:colOff>
      <xdr:row>48</xdr:row>
      <xdr:rowOff>96929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genotype">
              <a:extLst>
                <a:ext uri="{FF2B5EF4-FFF2-40B4-BE49-F238E27FC236}">
                  <a16:creationId xmlns:a16="http://schemas.microsoft.com/office/drawing/2014/main" id="{4165534F-6B58-4588-A21D-D2F41CA683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o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5999" y="6875553"/>
              <a:ext cx="1921929" cy="2428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27</xdr:col>
      <xdr:colOff>747328</xdr:colOff>
      <xdr:row>19</xdr:row>
      <xdr:rowOff>14835</xdr:rowOff>
    </xdr:from>
    <xdr:to>
      <xdr:col>30</xdr:col>
      <xdr:colOff>434924</xdr:colOff>
      <xdr:row>32</xdr:row>
      <xdr:rowOff>59285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water_condition">
              <a:extLst>
                <a:ext uri="{FF2B5EF4-FFF2-40B4-BE49-F238E27FC236}">
                  <a16:creationId xmlns:a16="http://schemas.microsoft.com/office/drawing/2014/main" id="{F58DE64F-5254-4DC1-8B15-6FB80313FD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at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85928" y="3878810"/>
              <a:ext cx="1970421" cy="244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300036</xdr:colOff>
      <xdr:row>0</xdr:row>
      <xdr:rowOff>0</xdr:rowOff>
    </xdr:from>
    <xdr:to>
      <xdr:col>28</xdr:col>
      <xdr:colOff>714374</xdr:colOff>
      <xdr:row>22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91099A3-99B2-463E-A24B-474AA18F8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ntin Maslard" refreshedDate="44488.954477777777" createdVersion="6" refreshedVersion="6" minRefreshableVersion="3" recordCount="288" xr:uid="{A3551600-2267-4CFD-B5FB-1257305EE7AD}">
  <cacheSource type="worksheet">
    <worksheetSource name="Tableau3"/>
  </cacheSource>
  <cacheFields count="18">
    <cacheField name="position" numFmtId="0">
      <sharedItems containsSemiMixedTypes="0" containsString="0" containsNumber="1" containsInteger="1" minValue="1" maxValue="22"/>
    </cacheField>
    <cacheField name="storage_line" numFmtId="0">
      <sharedItems containsSemiMixedTypes="0" containsString="0" containsNumber="1" containsInteger="1" minValue="2" maxValue="5"/>
    </cacheField>
    <cacheField name="unit" numFmtId="0">
      <sharedItems/>
    </cacheField>
    <cacheField name="num_rhizo" numFmtId="0">
      <sharedItems containsSemiMixedTypes="0" containsString="0" containsNumber="1" containsInteger="1" minValue="1" maxValue="1143"/>
    </cacheField>
    <cacheField name="ref_rhizo_simple" numFmtId="0">
      <sharedItems/>
    </cacheField>
    <cacheField name="heat_condition" numFmtId="0">
      <sharedItems count="2">
        <s v="OT"/>
        <s v="HS"/>
      </sharedItems>
    </cacheField>
    <cacheField name="water_condition" numFmtId="0">
      <sharedItems count="2">
        <s v="WW"/>
        <s v="WS"/>
      </sharedItems>
    </cacheField>
    <cacheField name="genotype" numFmtId="0">
      <sharedItems count="2">
        <s v="Stocata"/>
        <s v="Wendy"/>
      </sharedItems>
    </cacheField>
    <cacheField name="analyse_by_plant" numFmtId="0">
      <sharedItems containsBlank="1" count="5">
        <s v="Eco"/>
        <s v="Exud"/>
        <s v="Jav"/>
        <s v="BM"/>
        <m/>
      </sharedItems>
    </cacheField>
    <cacheField name="acronyme_analyse" numFmtId="0">
      <sharedItems containsBlank="1"/>
    </cacheField>
    <cacheField name="recolte" numFmtId="0">
      <sharedItems containsString="0" containsBlank="1" containsNumber="1" containsInteger="1" minValue="1" maxValue="2"/>
    </cacheField>
    <cacheField name="rep" numFmtId="0">
      <sharedItems containsString="0" containsBlank="1" containsNumber="1" containsInteger="1" minValue="1" maxValue="8"/>
    </cacheField>
    <cacheField name="date_recolte" numFmtId="14">
      <sharedItems containsNonDate="0" containsDate="1" containsString="0" containsBlank="1" minDate="2021-09-27T00:00:00" maxDate="2021-10-16T00:00:00" count="6">
        <d v="2021-09-27T00:00:00"/>
        <d v="2021-10-14T00:00:00"/>
        <m/>
        <d v="2021-10-12T00:00:00"/>
        <d v="2021-10-13T00:00:00"/>
        <d v="2021-10-15T00:00:00"/>
      </sharedItems>
      <fieldGroup par="17" base="12">
        <rangePr groupBy="days" startDate="2021-09-27T00:00:00" endDate="2021-10-16T00:00:00"/>
        <groupItems count="368">
          <s v="(vide)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16/10/2021"/>
        </groupItems>
      </fieldGroup>
    </cacheField>
    <cacheField name="paire" numFmtId="14">
      <sharedItems/>
    </cacheField>
    <cacheField name="plant_num" numFmtId="0">
      <sharedItems containsSemiMixedTypes="0" containsString="0" containsNumber="1" containsInteger="1" minValue="1" maxValue="1144" count="28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</sharedItems>
    </cacheField>
    <cacheField name="plante_remplacer" numFmtId="0">
      <sharedItems containsBlank="1"/>
    </cacheField>
    <cacheField name="note" numFmtId="0">
      <sharedItems containsBlank="1"/>
    </cacheField>
    <cacheField name="Mois" numFmtId="0" databaseField="0">
      <fieldGroup base="12">
        <rangePr groupBy="months" startDate="2021-09-27T00:00:00" endDate="2021-10-16T00:00:00"/>
        <groupItems count="14">
          <s v="&lt;27/09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6/10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ntin Maslard" refreshedDate="44498.702788078706" createdVersion="6" refreshedVersion="6" minRefreshableVersion="3" recordCount="49" xr:uid="{E71B42D5-4E6B-4EFD-9890-92AF4D584A23}">
  <cacheSource type="worksheet">
    <worksheetSource ref="F1:S50" sheet="microbio_contamination"/>
  </cacheSource>
  <cacheFields count="14">
    <cacheField name="heat_condition" numFmtId="0">
      <sharedItems count="2">
        <s v="OT"/>
        <s v="HS"/>
      </sharedItems>
    </cacheField>
    <cacheField name="water_condition" numFmtId="0">
      <sharedItems count="2">
        <s v="WW"/>
        <s v="WS"/>
      </sharedItems>
    </cacheField>
    <cacheField name="genotype" numFmtId="0">
      <sharedItems count="2">
        <s v="Wendy"/>
        <s v="Stocata"/>
      </sharedItems>
    </cacheField>
    <cacheField name="analyse_by_plant" numFmtId="0">
      <sharedItems/>
    </cacheField>
    <cacheField name="acronyme_analyse" numFmtId="0">
      <sharedItems containsBlank="1"/>
    </cacheField>
    <cacheField name="recolte" numFmtId="0">
      <sharedItems containsString="0" containsBlank="1" containsNumber="1" containsInteger="1" minValue="2" maxValue="2"/>
    </cacheField>
    <cacheField name="rep" numFmtId="0">
      <sharedItems containsString="0" containsBlank="1" containsNumber="1" containsInteger="1" minValue="1" maxValue="5"/>
    </cacheField>
    <cacheField name="date_recolte" numFmtId="14">
      <sharedItems containsNonDate="0" containsDate="1" containsString="0" containsBlank="1" minDate="2021-10-12T00:00:00" maxDate="2021-10-15T00:00:00"/>
    </cacheField>
    <cacheField name="paire" numFmtId="14">
      <sharedItems/>
    </cacheField>
    <cacheField name="plant_num" numFmtId="0">
      <sharedItems containsSemiMixedTypes="0" containsString="0" containsNumber="1" containsInteger="1" minValue="4" maxValue="1144"/>
    </cacheField>
    <cacheField name="plante_remplacer" numFmtId="0">
      <sharedItems containsBlank="1"/>
    </cacheField>
    <cacheField name="conta_TSA" numFmtId="0">
      <sharedItems containsString="0" containsBlank="1" containsNumber="1" containsInteger="1" minValue="0" maxValue="1"/>
    </cacheField>
    <cacheField name="conta_malteAgar" numFmtId="0">
      <sharedItems containsString="0" containsBlank="1" containsNumber="1" containsInteger="1" minValue="0" maxValue="1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n v="1"/>
    <n v="5"/>
    <s v="U2"/>
    <n v="1"/>
    <s v="1_U2_Sto_OT_WW_R1_EB_rep1"/>
    <x v="0"/>
    <x v="0"/>
    <x v="0"/>
    <x v="0"/>
    <s v="EB"/>
    <n v="1"/>
    <n v="1"/>
    <x v="0"/>
    <b v="0"/>
    <x v="0"/>
    <m/>
    <m/>
  </r>
  <r>
    <n v="1"/>
    <n v="5"/>
    <s v="U2"/>
    <n v="1"/>
    <s v="1_U2_Sto_OT_WW_R1_EB_rep1"/>
    <x v="0"/>
    <x v="0"/>
    <x v="0"/>
    <x v="0"/>
    <s v="EB"/>
    <n v="1"/>
    <n v="1"/>
    <x v="0"/>
    <b v="1"/>
    <x v="1"/>
    <m/>
    <m/>
  </r>
  <r>
    <n v="2"/>
    <n v="5"/>
    <s v="U2"/>
    <n v="3"/>
    <s v="3_U2_Wen_OT_WW_R1_JEx_rep1"/>
    <x v="0"/>
    <x v="0"/>
    <x v="1"/>
    <x v="1"/>
    <s v="JEx"/>
    <n v="2"/>
    <n v="1"/>
    <x v="1"/>
    <b v="0"/>
    <x v="2"/>
    <m/>
    <s v="test exudats"/>
  </r>
  <r>
    <n v="2"/>
    <n v="5"/>
    <s v="U2"/>
    <n v="3"/>
    <s v="3_U2_Wen_OT_WW_R1_JEx_rep1"/>
    <x v="0"/>
    <x v="0"/>
    <x v="1"/>
    <x v="2"/>
    <s v="JEx"/>
    <n v="2"/>
    <n v="1"/>
    <x v="1"/>
    <b v="1"/>
    <x v="3"/>
    <m/>
    <m/>
  </r>
  <r>
    <n v="3"/>
    <n v="5"/>
    <s v="U2"/>
    <n v="5"/>
    <s v="5_U2_Sto_OT_WW_R1_JEx_rep1"/>
    <x v="0"/>
    <x v="0"/>
    <x v="0"/>
    <x v="3"/>
    <m/>
    <n v="2"/>
    <n v="1"/>
    <x v="1"/>
    <b v="0"/>
    <x v="4"/>
    <m/>
    <s v="remplace BM"/>
  </r>
  <r>
    <n v="3"/>
    <n v="5"/>
    <s v="U2"/>
    <n v="5"/>
    <s v="5_U2_Sto_OT_WW_R1_JEx_rep1"/>
    <x v="0"/>
    <x v="0"/>
    <x v="0"/>
    <x v="4"/>
    <m/>
    <m/>
    <m/>
    <x v="2"/>
    <b v="1"/>
    <x v="5"/>
    <m/>
    <m/>
  </r>
  <r>
    <n v="4"/>
    <n v="5"/>
    <s v="U2"/>
    <n v="7"/>
    <s v="7_U2_Wen_OT_WW_R1_EB_rep1"/>
    <x v="0"/>
    <x v="0"/>
    <x v="1"/>
    <x v="0"/>
    <s v="EB"/>
    <n v="1"/>
    <n v="1"/>
    <x v="0"/>
    <b v="0"/>
    <x v="6"/>
    <m/>
    <m/>
  </r>
  <r>
    <n v="4"/>
    <n v="5"/>
    <s v="U2"/>
    <n v="7"/>
    <s v="7_U2_Wen_OT_WW_R1_EB_rep1"/>
    <x v="0"/>
    <x v="0"/>
    <x v="1"/>
    <x v="0"/>
    <s v="EB"/>
    <n v="1"/>
    <n v="1"/>
    <x v="0"/>
    <b v="1"/>
    <x v="7"/>
    <m/>
    <m/>
  </r>
  <r>
    <n v="5"/>
    <n v="5"/>
    <s v="U2"/>
    <n v="9"/>
    <s v="9_U2_Sto_OT_WW_R1_JEx_rep2"/>
    <x v="0"/>
    <x v="0"/>
    <x v="0"/>
    <x v="1"/>
    <s v="JEx"/>
    <n v="2"/>
    <n v="2"/>
    <x v="1"/>
    <b v="0"/>
    <x v="8"/>
    <m/>
    <s v="test exsudats"/>
  </r>
  <r>
    <n v="5"/>
    <n v="5"/>
    <s v="U2"/>
    <n v="9"/>
    <s v="9_U2_Sto_OT_WW_R1_JEx_rep2"/>
    <x v="0"/>
    <x v="0"/>
    <x v="0"/>
    <x v="2"/>
    <s v="JEx"/>
    <m/>
    <n v="2"/>
    <x v="2"/>
    <b v="1"/>
    <x v="9"/>
    <m/>
    <m/>
  </r>
  <r>
    <n v="6"/>
    <n v="5"/>
    <s v="U2"/>
    <n v="11"/>
    <s v="11_U2_Wen_OT_WW_R1_EB_rep2"/>
    <x v="0"/>
    <x v="0"/>
    <x v="1"/>
    <x v="0"/>
    <s v="EB"/>
    <n v="1"/>
    <n v="2"/>
    <x v="0"/>
    <b v="0"/>
    <x v="10"/>
    <m/>
    <m/>
  </r>
  <r>
    <n v="6"/>
    <n v="5"/>
    <s v="U2"/>
    <n v="11"/>
    <s v="11_U2_Wen_OT_WW_R1_EB_rep2"/>
    <x v="0"/>
    <x v="0"/>
    <x v="1"/>
    <x v="0"/>
    <s v="EB"/>
    <n v="1"/>
    <n v="2"/>
    <x v="0"/>
    <b v="1"/>
    <x v="11"/>
    <m/>
    <m/>
  </r>
  <r>
    <n v="7"/>
    <n v="5"/>
    <s v="U2"/>
    <n v="13"/>
    <s v="13_U2_Sto_OT_WW_R1_EB_rep2"/>
    <x v="0"/>
    <x v="0"/>
    <x v="0"/>
    <x v="0"/>
    <s v="EB"/>
    <n v="1"/>
    <n v="2"/>
    <x v="0"/>
    <b v="0"/>
    <x v="12"/>
    <m/>
    <m/>
  </r>
  <r>
    <n v="7"/>
    <n v="5"/>
    <s v="U2"/>
    <n v="13"/>
    <s v="13_U2_Sto_OT_WW_R1_EB_rep2"/>
    <x v="0"/>
    <x v="0"/>
    <x v="0"/>
    <x v="0"/>
    <s v="EB"/>
    <n v="1"/>
    <n v="2"/>
    <x v="0"/>
    <b v="1"/>
    <x v="13"/>
    <m/>
    <m/>
  </r>
  <r>
    <n v="8"/>
    <n v="5"/>
    <s v="U2"/>
    <n v="15"/>
    <s v="15_U2_Wen_OT_WW_R1_JEx_rep2"/>
    <x v="0"/>
    <x v="0"/>
    <x v="1"/>
    <x v="0"/>
    <s v="EB"/>
    <n v="2"/>
    <n v="2"/>
    <x v="3"/>
    <b v="0"/>
    <x v="14"/>
    <m/>
    <m/>
  </r>
  <r>
    <n v="8"/>
    <n v="5"/>
    <s v="U2"/>
    <n v="15"/>
    <s v="15_U2_Wen_OT_WW_R1_JEx_rep2"/>
    <x v="0"/>
    <x v="0"/>
    <x v="1"/>
    <x v="3"/>
    <s v="EB"/>
    <n v="2"/>
    <n v="2"/>
    <x v="3"/>
    <b v="1"/>
    <x v="15"/>
    <m/>
    <m/>
  </r>
  <r>
    <n v="1"/>
    <n v="4"/>
    <s v="U2"/>
    <n v="17"/>
    <s v="17_U2_Sto_OT_WW_R2_EB_rep1"/>
    <x v="0"/>
    <x v="0"/>
    <x v="0"/>
    <x v="0"/>
    <s v="EB"/>
    <n v="2"/>
    <n v="1"/>
    <x v="3"/>
    <b v="0"/>
    <x v="16"/>
    <m/>
    <m/>
  </r>
  <r>
    <n v="1"/>
    <n v="4"/>
    <s v="U2"/>
    <n v="17"/>
    <s v="17_U2_Sto_OT_WW_R2_EB_rep1"/>
    <x v="0"/>
    <x v="0"/>
    <x v="0"/>
    <x v="3"/>
    <s v="EB"/>
    <n v="2"/>
    <n v="1"/>
    <x v="3"/>
    <b v="1"/>
    <x v="17"/>
    <m/>
    <m/>
  </r>
  <r>
    <n v="2"/>
    <n v="4"/>
    <s v="U2"/>
    <n v="19"/>
    <s v="19_U2_Wen_OT_WW_R2_EB_rep1"/>
    <x v="0"/>
    <x v="0"/>
    <x v="1"/>
    <x v="0"/>
    <s v="EB"/>
    <n v="2"/>
    <n v="1"/>
    <x v="3"/>
    <b v="0"/>
    <x v="18"/>
    <m/>
    <m/>
  </r>
  <r>
    <n v="2"/>
    <n v="4"/>
    <s v="U2"/>
    <n v="19"/>
    <s v="19_U2_Wen_OT_WW_R2_EB_rep1"/>
    <x v="0"/>
    <x v="0"/>
    <x v="1"/>
    <x v="3"/>
    <s v="EB"/>
    <n v="2"/>
    <n v="1"/>
    <x v="3"/>
    <b v="1"/>
    <x v="19"/>
    <m/>
    <m/>
  </r>
  <r>
    <n v="3"/>
    <n v="4"/>
    <s v="U2"/>
    <n v="21"/>
    <s v="21_U2_Wen_OT_WS_R2_JEx_rep1"/>
    <x v="0"/>
    <x v="1"/>
    <x v="1"/>
    <x v="1"/>
    <s v="JEx"/>
    <n v="2"/>
    <n v="1"/>
    <x v="3"/>
    <b v="0"/>
    <x v="20"/>
    <m/>
    <m/>
  </r>
  <r>
    <n v="3"/>
    <n v="4"/>
    <s v="U2"/>
    <n v="21"/>
    <s v="21_U2_Wen_OT_WS_R2_JEx_rep1"/>
    <x v="0"/>
    <x v="1"/>
    <x v="1"/>
    <x v="2"/>
    <s v="JEx"/>
    <n v="2"/>
    <n v="1"/>
    <x v="3"/>
    <b v="1"/>
    <x v="21"/>
    <m/>
    <m/>
  </r>
  <r>
    <n v="4"/>
    <n v="4"/>
    <s v="U2"/>
    <n v="23"/>
    <s v="23_U2_Wen_OT_WS_R2_EB_rep1"/>
    <x v="0"/>
    <x v="1"/>
    <x v="1"/>
    <x v="0"/>
    <s v="EB"/>
    <n v="2"/>
    <n v="1"/>
    <x v="4"/>
    <b v="0"/>
    <x v="22"/>
    <m/>
    <m/>
  </r>
  <r>
    <n v="4"/>
    <n v="4"/>
    <s v="U2"/>
    <n v="23"/>
    <s v="23_U2_Wen_OT_WS_R2_EB_rep1"/>
    <x v="0"/>
    <x v="1"/>
    <x v="1"/>
    <x v="3"/>
    <s v="EB"/>
    <n v="2"/>
    <n v="1"/>
    <x v="4"/>
    <b v="1"/>
    <x v="23"/>
    <m/>
    <m/>
  </r>
  <r>
    <n v="5"/>
    <n v="4"/>
    <s v="U2"/>
    <n v="25"/>
    <s v="25_U2_Sto_OT_WS_R2_EB_rep1"/>
    <x v="0"/>
    <x v="1"/>
    <x v="0"/>
    <x v="0"/>
    <s v="EB"/>
    <n v="2"/>
    <n v="1"/>
    <x v="3"/>
    <b v="0"/>
    <x v="24"/>
    <m/>
    <m/>
  </r>
  <r>
    <n v="5"/>
    <n v="4"/>
    <s v="U2"/>
    <n v="25"/>
    <s v="25_U2_Sto_OT_WS_R2_EB_rep1"/>
    <x v="0"/>
    <x v="1"/>
    <x v="0"/>
    <x v="3"/>
    <s v="EB"/>
    <n v="2"/>
    <n v="1"/>
    <x v="3"/>
    <b v="1"/>
    <x v="25"/>
    <m/>
    <m/>
  </r>
  <r>
    <n v="6"/>
    <n v="4"/>
    <s v="U2"/>
    <n v="27"/>
    <s v="27_U2_Sto_OT_WW_R2_EB_rep2"/>
    <x v="0"/>
    <x v="0"/>
    <x v="0"/>
    <x v="0"/>
    <s v="EB"/>
    <n v="2"/>
    <n v="2"/>
    <x v="3"/>
    <b v="0"/>
    <x v="26"/>
    <m/>
    <m/>
  </r>
  <r>
    <n v="6"/>
    <n v="4"/>
    <s v="U2"/>
    <n v="27"/>
    <s v="27_U2_Sto_OT_WW_R2_EB_rep2"/>
    <x v="0"/>
    <x v="0"/>
    <x v="0"/>
    <x v="3"/>
    <s v="EB"/>
    <n v="2"/>
    <n v="2"/>
    <x v="3"/>
    <b v="1"/>
    <x v="27"/>
    <m/>
    <m/>
  </r>
  <r>
    <n v="7"/>
    <n v="4"/>
    <s v="U2"/>
    <n v="29"/>
    <s v="29_U2_Wen_OT_WW_R2_EB_rep2"/>
    <x v="0"/>
    <x v="0"/>
    <x v="1"/>
    <x v="0"/>
    <s v="EB"/>
    <n v="2"/>
    <n v="2"/>
    <x v="3"/>
    <b v="0"/>
    <x v="28"/>
    <m/>
    <m/>
  </r>
  <r>
    <n v="7"/>
    <n v="4"/>
    <s v="U2"/>
    <n v="29"/>
    <s v="29_U2_Wen_OT_WW_R2_EB_rep2"/>
    <x v="0"/>
    <x v="0"/>
    <x v="1"/>
    <x v="3"/>
    <s v="EB"/>
    <n v="2"/>
    <n v="2"/>
    <x v="3"/>
    <b v="1"/>
    <x v="29"/>
    <m/>
    <m/>
  </r>
  <r>
    <n v="8"/>
    <n v="4"/>
    <s v="U2"/>
    <n v="31"/>
    <s v="31_U2_Sto_OT_WW_R2_JEx_rep1"/>
    <x v="0"/>
    <x v="0"/>
    <x v="0"/>
    <x v="1"/>
    <s v="JEx"/>
    <n v="2"/>
    <n v="1"/>
    <x v="3"/>
    <b v="0"/>
    <x v="30"/>
    <m/>
    <m/>
  </r>
  <r>
    <n v="8"/>
    <n v="4"/>
    <s v="U2"/>
    <n v="31"/>
    <s v="31_U2_Sto_OT_WW_R2_JEx_rep1"/>
    <x v="0"/>
    <x v="0"/>
    <x v="0"/>
    <x v="2"/>
    <s v="JEx"/>
    <n v="2"/>
    <n v="1"/>
    <x v="3"/>
    <b v="1"/>
    <x v="31"/>
    <m/>
    <m/>
  </r>
  <r>
    <n v="9"/>
    <n v="4"/>
    <s v="U2"/>
    <n v="33"/>
    <s v="33_U2_Wen_OT_WS_R2_EB_rep2"/>
    <x v="0"/>
    <x v="1"/>
    <x v="1"/>
    <x v="0"/>
    <s v="EB"/>
    <n v="2"/>
    <n v="2"/>
    <x v="3"/>
    <b v="0"/>
    <x v="32"/>
    <m/>
    <m/>
  </r>
  <r>
    <n v="9"/>
    <n v="4"/>
    <s v="U2"/>
    <n v="33"/>
    <s v="33_U2_Wen_OT_WS_R2_EB_rep2"/>
    <x v="0"/>
    <x v="1"/>
    <x v="1"/>
    <x v="3"/>
    <s v="EB"/>
    <n v="2"/>
    <n v="2"/>
    <x v="3"/>
    <b v="1"/>
    <x v="33"/>
    <m/>
    <m/>
  </r>
  <r>
    <n v="10"/>
    <n v="4"/>
    <s v="U2"/>
    <n v="35"/>
    <s v="35_U2_Wen_OT_WW_R2_JEx_rep1"/>
    <x v="0"/>
    <x v="0"/>
    <x v="1"/>
    <x v="1"/>
    <s v="JEx"/>
    <n v="2"/>
    <n v="1"/>
    <x v="3"/>
    <b v="0"/>
    <x v="34"/>
    <m/>
    <m/>
  </r>
  <r>
    <n v="10"/>
    <n v="4"/>
    <s v="U2"/>
    <n v="35"/>
    <s v="35_U2_Wen_OT_WW_R2_JEx_rep1"/>
    <x v="0"/>
    <x v="0"/>
    <x v="1"/>
    <x v="2"/>
    <s v="JEx"/>
    <n v="2"/>
    <n v="1"/>
    <x v="3"/>
    <b v="1"/>
    <x v="35"/>
    <m/>
    <m/>
  </r>
  <r>
    <n v="11"/>
    <n v="4"/>
    <s v="U2"/>
    <n v="37"/>
    <s v="37_U2_Sto_OT_WS_R2_EB_rep2"/>
    <x v="0"/>
    <x v="1"/>
    <x v="0"/>
    <x v="0"/>
    <s v="EB"/>
    <n v="2"/>
    <n v="2"/>
    <x v="3"/>
    <b v="0"/>
    <x v="36"/>
    <m/>
    <m/>
  </r>
  <r>
    <n v="11"/>
    <n v="4"/>
    <s v="U2"/>
    <n v="37"/>
    <s v="37_U2_Sto_OT_WS_R2_EB_rep2"/>
    <x v="0"/>
    <x v="1"/>
    <x v="0"/>
    <x v="3"/>
    <s v="EB"/>
    <n v="2"/>
    <n v="2"/>
    <x v="3"/>
    <b v="1"/>
    <x v="37"/>
    <m/>
    <m/>
  </r>
  <r>
    <n v="12"/>
    <n v="4"/>
    <s v="U2"/>
    <n v="39"/>
    <s v="39_U2_Sto_OT_WW_R2_EB_rep3"/>
    <x v="0"/>
    <x v="0"/>
    <x v="0"/>
    <x v="0"/>
    <s v="EB"/>
    <n v="2"/>
    <n v="3"/>
    <x v="3"/>
    <b v="0"/>
    <x v="38"/>
    <m/>
    <m/>
  </r>
  <r>
    <n v="12"/>
    <n v="4"/>
    <s v="U2"/>
    <n v="39"/>
    <s v="39_U2_Sto_OT_WW_R2_EB_rep3"/>
    <x v="0"/>
    <x v="0"/>
    <x v="0"/>
    <x v="3"/>
    <s v="EB"/>
    <n v="2"/>
    <n v="3"/>
    <x v="3"/>
    <b v="1"/>
    <x v="39"/>
    <m/>
    <m/>
  </r>
  <r>
    <n v="13"/>
    <n v="4"/>
    <s v="U2"/>
    <n v="41"/>
    <s v="41_U2_Sto_OT_WS_R2_EB_rep3"/>
    <x v="0"/>
    <x v="1"/>
    <x v="0"/>
    <x v="0"/>
    <s v="EB"/>
    <n v="2"/>
    <n v="3"/>
    <x v="3"/>
    <b v="0"/>
    <x v="40"/>
    <m/>
    <m/>
  </r>
  <r>
    <n v="13"/>
    <n v="4"/>
    <s v="U2"/>
    <n v="41"/>
    <s v="41_U2_Sto_OT_WS_R2_EB_rep3"/>
    <x v="0"/>
    <x v="1"/>
    <x v="0"/>
    <x v="3"/>
    <s v="EB"/>
    <n v="2"/>
    <n v="3"/>
    <x v="3"/>
    <b v="1"/>
    <x v="41"/>
    <m/>
    <m/>
  </r>
  <r>
    <n v="14"/>
    <n v="4"/>
    <s v="U2"/>
    <n v="43"/>
    <s v="43_U2_Wen_OT_WW_R2_EB_rep3"/>
    <x v="0"/>
    <x v="0"/>
    <x v="1"/>
    <x v="1"/>
    <s v="EB"/>
    <n v="2"/>
    <n v="3"/>
    <x v="1"/>
    <b v="0"/>
    <x v="42"/>
    <s v="oui par 55"/>
    <s v="test exudats"/>
  </r>
  <r>
    <n v="14"/>
    <n v="4"/>
    <s v="U2"/>
    <n v="43"/>
    <s v="43_U2_Wen_OT_WW_R2_EB_rep3"/>
    <x v="0"/>
    <x v="0"/>
    <x v="1"/>
    <x v="4"/>
    <s v="EB"/>
    <m/>
    <n v="3"/>
    <x v="2"/>
    <b v="1"/>
    <x v="43"/>
    <s v="oui par 56"/>
    <s v="pas de plante"/>
  </r>
  <r>
    <n v="15"/>
    <n v="4"/>
    <s v="U2"/>
    <n v="45"/>
    <s v="45_U2_Sto_OT_WS_R2_JEx_rep1"/>
    <x v="0"/>
    <x v="1"/>
    <x v="0"/>
    <x v="4"/>
    <m/>
    <m/>
    <n v="1"/>
    <x v="2"/>
    <b v="0"/>
    <x v="44"/>
    <s v="oui par 49"/>
    <s v="decapitation by sylvie, attention peut être dans BM"/>
  </r>
  <r>
    <n v="15"/>
    <n v="4"/>
    <s v="U2"/>
    <n v="45"/>
    <s v="45_U2_Sto_OT_WS_R2_JEx_rep1"/>
    <x v="0"/>
    <x v="1"/>
    <x v="0"/>
    <x v="3"/>
    <m/>
    <n v="2"/>
    <n v="1"/>
    <x v="1"/>
    <b v="1"/>
    <x v="45"/>
    <s v="oui par 50"/>
    <s v="remplacement BM"/>
  </r>
  <r>
    <n v="16"/>
    <n v="4"/>
    <s v="U2"/>
    <n v="47"/>
    <s v="47_U2_Wen_OT_WS_R2_EB_rep3"/>
    <x v="0"/>
    <x v="1"/>
    <x v="1"/>
    <x v="0"/>
    <s v="EB"/>
    <n v="2"/>
    <n v="3"/>
    <x v="4"/>
    <b v="0"/>
    <x v="46"/>
    <m/>
    <m/>
  </r>
  <r>
    <n v="16"/>
    <n v="4"/>
    <s v="U2"/>
    <n v="47"/>
    <s v="47_U2_Wen_OT_WS_R2_EB_rep3"/>
    <x v="0"/>
    <x v="1"/>
    <x v="1"/>
    <x v="3"/>
    <s v="EB"/>
    <n v="2"/>
    <n v="3"/>
    <x v="4"/>
    <b v="1"/>
    <x v="47"/>
    <m/>
    <m/>
  </r>
  <r>
    <n v="17"/>
    <n v="4"/>
    <s v="U2"/>
    <n v="49"/>
    <s v="49_U2_Sto_OT_WS_Rx_SPARE_repX"/>
    <x v="0"/>
    <x v="1"/>
    <x v="0"/>
    <x v="1"/>
    <s v="EB"/>
    <n v="2"/>
    <m/>
    <x v="3"/>
    <b v="0"/>
    <x v="48"/>
    <m/>
    <m/>
  </r>
  <r>
    <n v="17"/>
    <n v="4"/>
    <s v="U2"/>
    <n v="49"/>
    <s v="49_U2_Sto_OT_WS_Rx_SPARE_repX"/>
    <x v="0"/>
    <x v="1"/>
    <x v="0"/>
    <x v="2"/>
    <s v="EB"/>
    <n v="2"/>
    <m/>
    <x v="3"/>
    <b v="1"/>
    <x v="49"/>
    <m/>
    <m/>
  </r>
  <r>
    <n v="18"/>
    <n v="4"/>
    <s v="U2"/>
    <n v="51"/>
    <s v="51_U2_Wen_OT_WS_Rx_SPARE_repX"/>
    <x v="0"/>
    <x v="1"/>
    <x v="1"/>
    <x v="2"/>
    <m/>
    <n v="2"/>
    <m/>
    <x v="1"/>
    <b v="0"/>
    <x v="50"/>
    <m/>
    <m/>
  </r>
  <r>
    <n v="18"/>
    <n v="4"/>
    <s v="U2"/>
    <n v="51"/>
    <s v="51_U2_Wen_OT_WS_Rx_SPARE_repX"/>
    <x v="0"/>
    <x v="1"/>
    <x v="1"/>
    <x v="2"/>
    <s v="….."/>
    <n v="2"/>
    <m/>
    <x v="1"/>
    <b v="1"/>
    <x v="51"/>
    <m/>
    <m/>
  </r>
  <r>
    <n v="19"/>
    <n v="4"/>
    <s v="U2"/>
    <n v="53"/>
    <s v="53_U2_Sto_OT_WW_Rx_SPARE_repX"/>
    <x v="0"/>
    <x v="0"/>
    <x v="0"/>
    <x v="3"/>
    <s v="EB"/>
    <n v="2"/>
    <m/>
    <x v="4"/>
    <b v="0"/>
    <x v="52"/>
    <m/>
    <m/>
  </r>
  <r>
    <n v="19"/>
    <n v="4"/>
    <s v="U2"/>
    <n v="53"/>
    <s v="53_U2_Sto_OT_WW_Rx_SPARE_repX"/>
    <x v="0"/>
    <x v="0"/>
    <x v="0"/>
    <x v="0"/>
    <s v="EB"/>
    <n v="2"/>
    <m/>
    <x v="4"/>
    <b v="1"/>
    <x v="53"/>
    <m/>
    <m/>
  </r>
  <r>
    <n v="20"/>
    <n v="4"/>
    <s v="U2"/>
    <n v="55"/>
    <s v="55_U2_Wen_OT_WW_Rx_SPARE_repX"/>
    <x v="0"/>
    <x v="0"/>
    <x v="1"/>
    <x v="3"/>
    <s v="EB"/>
    <n v="2"/>
    <m/>
    <x v="4"/>
    <b v="0"/>
    <x v="54"/>
    <m/>
    <m/>
  </r>
  <r>
    <n v="20"/>
    <n v="4"/>
    <s v="U2"/>
    <n v="55"/>
    <s v="55_U2_Wen_OT_WW_Rx_SPARE_repX"/>
    <x v="0"/>
    <x v="0"/>
    <x v="1"/>
    <x v="0"/>
    <s v="EB"/>
    <n v="2"/>
    <m/>
    <x v="4"/>
    <b v="1"/>
    <x v="55"/>
    <m/>
    <m/>
  </r>
  <r>
    <n v="21"/>
    <n v="4"/>
    <s v="U2"/>
    <n v="57"/>
    <s v="57_U2_Sto_OT_WS_Rx_SPARE_repX"/>
    <x v="0"/>
    <x v="1"/>
    <x v="0"/>
    <x v="3"/>
    <s v="….."/>
    <n v="2"/>
    <m/>
    <x v="1"/>
    <b v="0"/>
    <x v="56"/>
    <m/>
    <s v="remplace BM"/>
  </r>
  <r>
    <n v="21"/>
    <n v="4"/>
    <s v="U2"/>
    <n v="57"/>
    <s v="57_U2_Sto_OT_WS_Rx_SPARE_repX"/>
    <x v="0"/>
    <x v="1"/>
    <x v="0"/>
    <x v="3"/>
    <s v="….."/>
    <n v="2"/>
    <m/>
    <x v="1"/>
    <b v="1"/>
    <x v="57"/>
    <m/>
    <s v="remplace BM"/>
  </r>
  <r>
    <n v="22"/>
    <n v="4"/>
    <s v="U2"/>
    <n v="59"/>
    <s v="59_U2_Wen_OT_WS_Rx_SPARE_repX"/>
    <x v="0"/>
    <x v="1"/>
    <x v="1"/>
    <x v="1"/>
    <s v="JEx"/>
    <n v="2"/>
    <m/>
    <x v="3"/>
    <b v="0"/>
    <x v="58"/>
    <m/>
    <m/>
  </r>
  <r>
    <n v="22"/>
    <n v="4"/>
    <s v="U2"/>
    <n v="59"/>
    <s v="59_U2_Wen_OT_WS_Rx_SPARE_repX"/>
    <x v="0"/>
    <x v="1"/>
    <x v="1"/>
    <x v="2"/>
    <s v="JEx"/>
    <n v="2"/>
    <m/>
    <x v="3"/>
    <b v="1"/>
    <x v="59"/>
    <m/>
    <m/>
  </r>
  <r>
    <n v="1"/>
    <n v="3"/>
    <s v="U2"/>
    <n v="61"/>
    <s v="61_U2_Sto_OT_WS_R2_EB_rep4"/>
    <x v="0"/>
    <x v="1"/>
    <x v="0"/>
    <x v="0"/>
    <s v="EB"/>
    <n v="2"/>
    <n v="4"/>
    <x v="3"/>
    <b v="0"/>
    <x v="60"/>
    <m/>
    <m/>
  </r>
  <r>
    <n v="1"/>
    <n v="3"/>
    <s v="U2"/>
    <n v="61"/>
    <s v="61_U2_Sto_OT_WS_R2_EB_rep4"/>
    <x v="0"/>
    <x v="1"/>
    <x v="0"/>
    <x v="3"/>
    <s v="EB"/>
    <n v="2"/>
    <n v="4"/>
    <x v="3"/>
    <b v="1"/>
    <x v="61"/>
    <m/>
    <m/>
  </r>
  <r>
    <n v="2"/>
    <n v="3"/>
    <s v="U2"/>
    <n v="63"/>
    <s v="63_U2_Wen_OT_WW_R2_JEx_rep2"/>
    <x v="0"/>
    <x v="0"/>
    <x v="1"/>
    <x v="3"/>
    <s v="JEx"/>
    <n v="2"/>
    <n v="2"/>
    <x v="1"/>
    <b v="0"/>
    <x v="62"/>
    <s v="oui par 143"/>
    <s v="remplacement BM"/>
  </r>
  <r>
    <n v="2"/>
    <n v="3"/>
    <s v="U2"/>
    <n v="63"/>
    <s v="63_U2_Wen_OT_WW_R2_JEx_rep2"/>
    <x v="0"/>
    <x v="0"/>
    <x v="1"/>
    <x v="2"/>
    <s v="JEx"/>
    <m/>
    <n v="2"/>
    <x v="2"/>
    <b v="1"/>
    <x v="63"/>
    <s v="oui par 144"/>
    <s v="pas de plante"/>
  </r>
  <r>
    <n v="3"/>
    <n v="3"/>
    <s v="U2"/>
    <n v="65"/>
    <s v="65_U2_Sto_OT_WW_R2_EB_rep4"/>
    <x v="0"/>
    <x v="0"/>
    <x v="0"/>
    <x v="0"/>
    <s v="EB"/>
    <n v="2"/>
    <n v="4"/>
    <x v="1"/>
    <b v="0"/>
    <x v="64"/>
    <s v="oui par 53"/>
    <s v="test exudats"/>
  </r>
  <r>
    <n v="3"/>
    <n v="3"/>
    <s v="U2"/>
    <n v="65"/>
    <s v="65_U2_Sto_OT_WW_R2_EB_rep4"/>
    <x v="0"/>
    <x v="0"/>
    <x v="0"/>
    <x v="4"/>
    <m/>
    <m/>
    <n v="4"/>
    <x v="2"/>
    <b v="1"/>
    <x v="65"/>
    <s v="oui par 54"/>
    <s v="pas de plante"/>
  </r>
  <r>
    <n v="4"/>
    <n v="3"/>
    <s v="U2"/>
    <n v="67"/>
    <s v="67_U2_Wen_OT_WW_R2_EB_rep4"/>
    <x v="0"/>
    <x v="0"/>
    <x v="1"/>
    <x v="0"/>
    <s v="EB"/>
    <n v="2"/>
    <n v="4"/>
    <x v="4"/>
    <b v="0"/>
    <x v="66"/>
    <m/>
    <m/>
  </r>
  <r>
    <n v="4"/>
    <n v="3"/>
    <s v="U2"/>
    <n v="67"/>
    <s v="67_U2_Wen_OT_WW_R2_EB_rep4"/>
    <x v="0"/>
    <x v="0"/>
    <x v="1"/>
    <x v="3"/>
    <s v="EB"/>
    <n v="2"/>
    <n v="4"/>
    <x v="4"/>
    <b v="1"/>
    <x v="67"/>
    <m/>
    <s v="pas de prélevement sol"/>
  </r>
  <r>
    <n v="5"/>
    <n v="3"/>
    <s v="U2"/>
    <n v="69"/>
    <s v="69_U2_Sto_OT_WW_R2_JEx_rep2"/>
    <x v="0"/>
    <x v="0"/>
    <x v="0"/>
    <x v="1"/>
    <s v="JEx"/>
    <n v="2"/>
    <n v="2"/>
    <x v="3"/>
    <b v="0"/>
    <x v="68"/>
    <m/>
    <m/>
  </r>
  <r>
    <n v="5"/>
    <n v="3"/>
    <s v="U2"/>
    <n v="69"/>
    <s v="69_U2_Sto_OT_WW_R2_JEx_rep2"/>
    <x v="0"/>
    <x v="0"/>
    <x v="0"/>
    <x v="2"/>
    <s v="JEx"/>
    <n v="2"/>
    <n v="2"/>
    <x v="3"/>
    <b v="1"/>
    <x v="69"/>
    <m/>
    <m/>
  </r>
  <r>
    <n v="6"/>
    <n v="3"/>
    <s v="U2"/>
    <n v="71"/>
    <s v="71_U2_Wen_OT_WS_R2_EB_rep4"/>
    <x v="0"/>
    <x v="1"/>
    <x v="1"/>
    <x v="0"/>
    <s v="EB"/>
    <n v="2"/>
    <n v="4"/>
    <x v="4"/>
    <b v="0"/>
    <x v="70"/>
    <m/>
    <m/>
  </r>
  <r>
    <n v="6"/>
    <n v="3"/>
    <s v="U2"/>
    <n v="71"/>
    <s v="71_U2_Wen_OT_WS_R2_EB_rep4"/>
    <x v="0"/>
    <x v="1"/>
    <x v="1"/>
    <x v="3"/>
    <s v="EB"/>
    <n v="2"/>
    <n v="4"/>
    <x v="4"/>
    <b v="1"/>
    <x v="71"/>
    <m/>
    <m/>
  </r>
  <r>
    <n v="7"/>
    <n v="3"/>
    <s v="U2"/>
    <n v="73"/>
    <s v="73_U2_Sto_OT_WS_R2_JEx_rep2"/>
    <x v="0"/>
    <x v="1"/>
    <x v="0"/>
    <x v="1"/>
    <s v="JEx"/>
    <n v="2"/>
    <n v="2"/>
    <x v="3"/>
    <b v="0"/>
    <x v="72"/>
    <m/>
    <m/>
  </r>
  <r>
    <n v="7"/>
    <n v="3"/>
    <s v="U2"/>
    <n v="73"/>
    <s v="73_U2_Sto_OT_WS_R2_JEx_rep2"/>
    <x v="0"/>
    <x v="1"/>
    <x v="0"/>
    <x v="2"/>
    <s v="JEx"/>
    <n v="2"/>
    <n v="2"/>
    <x v="3"/>
    <b v="1"/>
    <x v="73"/>
    <m/>
    <m/>
  </r>
  <r>
    <n v="8"/>
    <n v="3"/>
    <s v="U2"/>
    <n v="75"/>
    <s v="75_U2_Sto_OT_WS_R2_EB_rep5"/>
    <x v="0"/>
    <x v="1"/>
    <x v="0"/>
    <x v="0"/>
    <s v="EB"/>
    <n v="2"/>
    <n v="5"/>
    <x v="4"/>
    <b v="0"/>
    <x v="74"/>
    <m/>
    <m/>
  </r>
  <r>
    <n v="8"/>
    <n v="3"/>
    <s v="U2"/>
    <n v="75"/>
    <s v="75_U2_Sto_OT_WS_R2_EB_rep5"/>
    <x v="0"/>
    <x v="1"/>
    <x v="0"/>
    <x v="3"/>
    <s v="EB"/>
    <n v="2"/>
    <n v="5"/>
    <x v="4"/>
    <b v="1"/>
    <x v="75"/>
    <m/>
    <m/>
  </r>
  <r>
    <n v="9"/>
    <n v="3"/>
    <s v="U2"/>
    <n v="77"/>
    <s v="77_U2_Wen_OT_WS_R2_JEx_rep2"/>
    <x v="0"/>
    <x v="1"/>
    <x v="1"/>
    <x v="1"/>
    <s v="JEx"/>
    <n v="2"/>
    <n v="2"/>
    <x v="3"/>
    <b v="0"/>
    <x v="76"/>
    <m/>
    <m/>
  </r>
  <r>
    <n v="9"/>
    <n v="3"/>
    <s v="U2"/>
    <n v="77"/>
    <s v="77_U2_Wen_OT_WS_R2_JEx_rep2"/>
    <x v="0"/>
    <x v="1"/>
    <x v="1"/>
    <x v="2"/>
    <s v="JEx"/>
    <n v="2"/>
    <n v="2"/>
    <x v="3"/>
    <b v="1"/>
    <x v="77"/>
    <m/>
    <m/>
  </r>
  <r>
    <n v="10"/>
    <n v="3"/>
    <s v="U2"/>
    <n v="79"/>
    <s v="79_U2_Sto_OT_WW_R2_EB_rep5"/>
    <x v="0"/>
    <x v="0"/>
    <x v="0"/>
    <x v="0"/>
    <s v="EB"/>
    <n v="2"/>
    <n v="5"/>
    <x v="4"/>
    <b v="0"/>
    <x v="78"/>
    <m/>
    <m/>
  </r>
  <r>
    <n v="10"/>
    <n v="3"/>
    <s v="U2"/>
    <n v="79"/>
    <s v="79_U2_Sto_OT_WW_R2_EB_rep5"/>
    <x v="0"/>
    <x v="0"/>
    <x v="0"/>
    <x v="3"/>
    <s v="EB"/>
    <n v="2"/>
    <n v="5"/>
    <x v="4"/>
    <b v="1"/>
    <x v="79"/>
    <m/>
    <s v="raté au démoulage"/>
  </r>
  <r>
    <n v="11"/>
    <n v="3"/>
    <s v="U2"/>
    <n v="81"/>
    <s v="81_U2_Sto_OT_WS_R2_JEx_rep3"/>
    <x v="0"/>
    <x v="1"/>
    <x v="0"/>
    <x v="1"/>
    <s v="JEx"/>
    <n v="2"/>
    <n v="3"/>
    <x v="4"/>
    <b v="0"/>
    <x v="80"/>
    <m/>
    <m/>
  </r>
  <r>
    <n v="11"/>
    <n v="3"/>
    <s v="U2"/>
    <n v="81"/>
    <s v="81_U2_Sto_OT_WS_R2_JEx_rep3"/>
    <x v="0"/>
    <x v="1"/>
    <x v="0"/>
    <x v="2"/>
    <s v="JEx"/>
    <n v="2"/>
    <n v="3"/>
    <x v="4"/>
    <b v="1"/>
    <x v="81"/>
    <m/>
    <m/>
  </r>
  <r>
    <n v="12"/>
    <n v="3"/>
    <s v="U2"/>
    <n v="83"/>
    <s v="83_U2_Wen_OT_WW_R2_EB_rep5"/>
    <x v="0"/>
    <x v="0"/>
    <x v="1"/>
    <x v="0"/>
    <s v="EB"/>
    <n v="2"/>
    <n v="5"/>
    <x v="4"/>
    <b v="0"/>
    <x v="82"/>
    <m/>
    <m/>
  </r>
  <r>
    <n v="12"/>
    <n v="3"/>
    <s v="U2"/>
    <n v="83"/>
    <s v="83_U2_Wen_OT_WW_R2_EB_rep5"/>
    <x v="0"/>
    <x v="0"/>
    <x v="1"/>
    <x v="3"/>
    <s v="EB"/>
    <n v="2"/>
    <n v="5"/>
    <x v="4"/>
    <b v="1"/>
    <x v="83"/>
    <m/>
    <m/>
  </r>
  <r>
    <n v="13"/>
    <n v="3"/>
    <s v="U2"/>
    <n v="85"/>
    <s v="85_U2_Sto_OT_WW_R2_JEx_rep3"/>
    <x v="0"/>
    <x v="0"/>
    <x v="0"/>
    <x v="1"/>
    <s v="JEx"/>
    <n v="2"/>
    <n v="3"/>
    <x v="4"/>
    <b v="0"/>
    <x v="84"/>
    <m/>
    <m/>
  </r>
  <r>
    <n v="13"/>
    <n v="3"/>
    <s v="U2"/>
    <n v="85"/>
    <s v="85_U2_Sto_OT_WW_R2_JEx_rep3"/>
    <x v="0"/>
    <x v="0"/>
    <x v="0"/>
    <x v="2"/>
    <s v="JEx"/>
    <n v="2"/>
    <n v="3"/>
    <x v="4"/>
    <b v="1"/>
    <x v="85"/>
    <m/>
    <m/>
  </r>
  <r>
    <n v="14"/>
    <n v="3"/>
    <s v="U2"/>
    <n v="87"/>
    <s v="87_U2_Wen_OT_WS_R2_EB_rep5"/>
    <x v="0"/>
    <x v="1"/>
    <x v="1"/>
    <x v="0"/>
    <s v="EB"/>
    <n v="2"/>
    <n v="5"/>
    <x v="4"/>
    <b v="0"/>
    <x v="86"/>
    <m/>
    <m/>
  </r>
  <r>
    <n v="14"/>
    <n v="3"/>
    <s v="U2"/>
    <n v="87"/>
    <s v="87_U2_Wen_OT_WS_R2_EB_rep5"/>
    <x v="0"/>
    <x v="1"/>
    <x v="1"/>
    <x v="3"/>
    <s v="EB"/>
    <n v="2"/>
    <n v="5"/>
    <x v="4"/>
    <b v="1"/>
    <x v="87"/>
    <m/>
    <m/>
  </r>
  <r>
    <n v="15"/>
    <n v="3"/>
    <s v="U2"/>
    <n v="89"/>
    <s v="89_U2_Wen_OT_WW_R2_JEx_rep3"/>
    <x v="0"/>
    <x v="0"/>
    <x v="1"/>
    <x v="1"/>
    <s v="JEx"/>
    <n v="2"/>
    <n v="3"/>
    <x v="4"/>
    <b v="0"/>
    <x v="88"/>
    <m/>
    <m/>
  </r>
  <r>
    <n v="15"/>
    <n v="3"/>
    <s v="U2"/>
    <n v="89"/>
    <s v="89_U2_Wen_OT_WW_R2_JEx_rep3"/>
    <x v="0"/>
    <x v="0"/>
    <x v="1"/>
    <x v="2"/>
    <s v="JEx"/>
    <n v="2"/>
    <n v="3"/>
    <x v="4"/>
    <b v="1"/>
    <x v="89"/>
    <m/>
    <m/>
  </r>
  <r>
    <n v="16"/>
    <n v="3"/>
    <s v="U2"/>
    <n v="91"/>
    <s v="91_U2_Sto_OT_WS_R2_EB_rep6"/>
    <x v="0"/>
    <x v="1"/>
    <x v="0"/>
    <x v="0"/>
    <s v="EB"/>
    <n v="2"/>
    <n v="6"/>
    <x v="4"/>
    <b v="0"/>
    <x v="90"/>
    <m/>
    <m/>
  </r>
  <r>
    <n v="16"/>
    <n v="3"/>
    <s v="U2"/>
    <n v="91"/>
    <s v="91_U2_Sto_OT_WS_R2_EB_rep6"/>
    <x v="0"/>
    <x v="1"/>
    <x v="0"/>
    <x v="3"/>
    <s v="EB"/>
    <n v="2"/>
    <n v="6"/>
    <x v="4"/>
    <b v="1"/>
    <x v="91"/>
    <m/>
    <m/>
  </r>
  <r>
    <n v="17"/>
    <n v="3"/>
    <s v="U2"/>
    <n v="93"/>
    <s v="93_U2_Sto_OT_WW_R2_EB_rep6"/>
    <x v="0"/>
    <x v="0"/>
    <x v="0"/>
    <x v="0"/>
    <s v="EB"/>
    <n v="2"/>
    <n v="6"/>
    <x v="1"/>
    <b v="0"/>
    <x v="92"/>
    <m/>
    <m/>
  </r>
  <r>
    <n v="17"/>
    <n v="3"/>
    <s v="U2"/>
    <n v="93"/>
    <s v="93_U2_Sto_OT_WW_R2_EB_rep6"/>
    <x v="0"/>
    <x v="0"/>
    <x v="0"/>
    <x v="3"/>
    <s v="EB"/>
    <n v="2"/>
    <n v="6"/>
    <x v="1"/>
    <b v="1"/>
    <x v="93"/>
    <m/>
    <m/>
  </r>
  <r>
    <n v="18"/>
    <n v="3"/>
    <s v="U2"/>
    <n v="95"/>
    <s v="95_U2_Wen_OT_WS_R2_JEx_rep3"/>
    <x v="0"/>
    <x v="1"/>
    <x v="1"/>
    <x v="1"/>
    <s v="JEx"/>
    <n v="2"/>
    <n v="3"/>
    <x v="4"/>
    <b v="0"/>
    <x v="94"/>
    <m/>
    <m/>
  </r>
  <r>
    <n v="18"/>
    <n v="3"/>
    <s v="U2"/>
    <n v="95"/>
    <s v="95_U2_Wen_OT_WS_R2_JEx_rep3"/>
    <x v="0"/>
    <x v="1"/>
    <x v="1"/>
    <x v="2"/>
    <s v="JEx"/>
    <n v="2"/>
    <n v="3"/>
    <x v="4"/>
    <b v="1"/>
    <x v="95"/>
    <m/>
    <m/>
  </r>
  <r>
    <n v="19"/>
    <n v="3"/>
    <s v="U2"/>
    <n v="97"/>
    <s v="97_U2_Wen_OT_WW_R2_EB_rep6"/>
    <x v="0"/>
    <x v="0"/>
    <x v="1"/>
    <x v="4"/>
    <m/>
    <m/>
    <n v="6"/>
    <x v="2"/>
    <b v="0"/>
    <x v="96"/>
    <s v="oui par 15"/>
    <s v="pas de plante"/>
  </r>
  <r>
    <n v="19"/>
    <n v="3"/>
    <s v="U2"/>
    <n v="97"/>
    <s v="97_U2_Wen_OT_WW_R2_EB_rep6"/>
    <x v="0"/>
    <x v="0"/>
    <x v="1"/>
    <x v="3"/>
    <s v="EB"/>
    <n v="2"/>
    <n v="6"/>
    <x v="1"/>
    <b v="1"/>
    <x v="97"/>
    <s v="oui par 16"/>
    <s v="remplacement BM"/>
  </r>
  <r>
    <n v="20"/>
    <n v="3"/>
    <s v="U2"/>
    <n v="99"/>
    <s v="99_U2_Wen_OT_WS_R2_EB_rep6"/>
    <x v="0"/>
    <x v="1"/>
    <x v="1"/>
    <x v="0"/>
    <s v="EB"/>
    <n v="2"/>
    <n v="6"/>
    <x v="1"/>
    <b v="0"/>
    <x v="98"/>
    <m/>
    <m/>
  </r>
  <r>
    <n v="20"/>
    <n v="3"/>
    <s v="U2"/>
    <n v="99"/>
    <s v="99_U2_Wen_OT_WS_R2_EB_rep6"/>
    <x v="0"/>
    <x v="1"/>
    <x v="1"/>
    <x v="3"/>
    <s v="EB"/>
    <n v="2"/>
    <n v="6"/>
    <x v="1"/>
    <b v="1"/>
    <x v="99"/>
    <m/>
    <m/>
  </r>
  <r>
    <n v="21"/>
    <n v="3"/>
    <s v="U2"/>
    <n v="101"/>
    <s v="101_U2_Sto_OT_WW_Rx_SPARE_repX"/>
    <x v="0"/>
    <x v="0"/>
    <x v="0"/>
    <x v="1"/>
    <s v="JEx"/>
    <n v="2"/>
    <m/>
    <x v="4"/>
    <b v="0"/>
    <x v="100"/>
    <m/>
    <m/>
  </r>
  <r>
    <n v="21"/>
    <n v="3"/>
    <s v="U2"/>
    <n v="101"/>
    <s v="101_U2_Sto_OT_WW_Rx_SPARE_repX"/>
    <x v="0"/>
    <x v="0"/>
    <x v="0"/>
    <x v="2"/>
    <s v="JEx"/>
    <n v="2"/>
    <m/>
    <x v="4"/>
    <b v="1"/>
    <x v="101"/>
    <m/>
    <m/>
  </r>
  <r>
    <n v="1"/>
    <n v="2"/>
    <s v="U2"/>
    <n v="103"/>
    <s v="103_U2_Wen_OT_WS_R2_EB_rep7"/>
    <x v="0"/>
    <x v="1"/>
    <x v="1"/>
    <x v="0"/>
    <s v="EB"/>
    <n v="2"/>
    <n v="7"/>
    <x v="1"/>
    <b v="0"/>
    <x v="102"/>
    <m/>
    <m/>
  </r>
  <r>
    <n v="1"/>
    <n v="2"/>
    <s v="U2"/>
    <n v="103"/>
    <s v="103_U2_Wen_OT_WS_R2_EB_rep7"/>
    <x v="0"/>
    <x v="1"/>
    <x v="1"/>
    <x v="3"/>
    <s v="EB"/>
    <n v="2"/>
    <n v="7"/>
    <x v="1"/>
    <b v="1"/>
    <x v="103"/>
    <m/>
    <m/>
  </r>
  <r>
    <n v="2"/>
    <n v="2"/>
    <s v="U2"/>
    <n v="105"/>
    <s v="105_U2_Sto_OT_WS_R2_EB_rep7"/>
    <x v="0"/>
    <x v="1"/>
    <x v="0"/>
    <x v="0"/>
    <s v="EB"/>
    <n v="2"/>
    <n v="7"/>
    <x v="1"/>
    <b v="0"/>
    <x v="104"/>
    <m/>
    <m/>
  </r>
  <r>
    <n v="2"/>
    <n v="2"/>
    <s v="U2"/>
    <n v="105"/>
    <s v="105_U2_Sto_OT_WS_R2_EB_rep7"/>
    <x v="0"/>
    <x v="1"/>
    <x v="0"/>
    <x v="3"/>
    <s v="EB"/>
    <n v="2"/>
    <n v="7"/>
    <x v="1"/>
    <b v="1"/>
    <x v="105"/>
    <m/>
    <m/>
  </r>
  <r>
    <n v="3"/>
    <n v="2"/>
    <s v="U2"/>
    <n v="107"/>
    <s v="107_U2_Sto_OT_WS_R2_JEx_rep4"/>
    <x v="0"/>
    <x v="1"/>
    <x v="0"/>
    <x v="1"/>
    <s v="JEx"/>
    <n v="2"/>
    <n v="4"/>
    <x v="4"/>
    <b v="0"/>
    <x v="106"/>
    <m/>
    <m/>
  </r>
  <r>
    <n v="3"/>
    <n v="2"/>
    <s v="U2"/>
    <n v="107"/>
    <s v="107_U2_Sto_OT_WS_R2_JEx_rep4"/>
    <x v="0"/>
    <x v="1"/>
    <x v="0"/>
    <x v="2"/>
    <s v="JEx"/>
    <n v="2"/>
    <n v="4"/>
    <x v="4"/>
    <b v="1"/>
    <x v="107"/>
    <m/>
    <m/>
  </r>
  <r>
    <n v="4"/>
    <n v="2"/>
    <s v="U2"/>
    <n v="109"/>
    <s v="109_U2_Sto_OT_WW_R2_EB_rep7"/>
    <x v="0"/>
    <x v="0"/>
    <x v="0"/>
    <x v="0"/>
    <s v="EB"/>
    <n v="2"/>
    <n v="7"/>
    <x v="1"/>
    <b v="0"/>
    <x v="108"/>
    <m/>
    <m/>
  </r>
  <r>
    <n v="4"/>
    <n v="2"/>
    <s v="U2"/>
    <n v="109"/>
    <s v="109_U2_Sto_OT_WW_R2_EB_rep7"/>
    <x v="0"/>
    <x v="0"/>
    <x v="0"/>
    <x v="3"/>
    <s v="EB"/>
    <n v="2"/>
    <n v="7"/>
    <x v="1"/>
    <b v="1"/>
    <x v="109"/>
    <m/>
    <m/>
  </r>
  <r>
    <n v="5"/>
    <n v="2"/>
    <s v="U2"/>
    <n v="111"/>
    <s v="111_U2_Wen_OT_WW_R2_EB_rep7"/>
    <x v="0"/>
    <x v="0"/>
    <x v="1"/>
    <x v="0"/>
    <s v="EB"/>
    <n v="2"/>
    <n v="7"/>
    <x v="1"/>
    <b v="0"/>
    <x v="110"/>
    <m/>
    <m/>
  </r>
  <r>
    <n v="5"/>
    <n v="2"/>
    <s v="U2"/>
    <n v="111"/>
    <s v="111_U2_Wen_OT_WW_R2_EB_rep7"/>
    <x v="0"/>
    <x v="0"/>
    <x v="1"/>
    <x v="3"/>
    <s v="EB"/>
    <n v="2"/>
    <n v="7"/>
    <x v="1"/>
    <b v="1"/>
    <x v="111"/>
    <m/>
    <m/>
  </r>
  <r>
    <n v="6"/>
    <n v="2"/>
    <s v="U2"/>
    <n v="113"/>
    <s v="113_U2_Wen_OT_WS_R2_JEx_rep4"/>
    <x v="0"/>
    <x v="1"/>
    <x v="1"/>
    <x v="4"/>
    <s v="JEx"/>
    <m/>
    <n v="4"/>
    <x v="2"/>
    <b v="0"/>
    <x v="112"/>
    <s v="oui par 59"/>
    <s v="un peu petite a cause changement plante, plante jeter"/>
  </r>
  <r>
    <n v="6"/>
    <n v="2"/>
    <s v="U2"/>
    <n v="113"/>
    <s v="113_U2_Wen_OT_WS_R2_JEx_rep4"/>
    <x v="0"/>
    <x v="1"/>
    <x v="1"/>
    <x v="2"/>
    <s v="JEx"/>
    <n v="2"/>
    <n v="4"/>
    <x v="1"/>
    <b v="1"/>
    <x v="113"/>
    <s v="oui par 60"/>
    <m/>
  </r>
  <r>
    <n v="7"/>
    <n v="2"/>
    <s v="U2"/>
    <n v="115"/>
    <s v="115_U2_Wen_OT_WS_R2_EB_rep8"/>
    <x v="0"/>
    <x v="1"/>
    <x v="1"/>
    <x v="0"/>
    <s v="EB"/>
    <n v="2"/>
    <n v="8"/>
    <x v="1"/>
    <b v="0"/>
    <x v="114"/>
    <m/>
    <m/>
  </r>
  <r>
    <n v="7"/>
    <n v="2"/>
    <s v="U2"/>
    <n v="115"/>
    <s v="115_U2_Wen_OT_WS_R2_EB_rep8"/>
    <x v="0"/>
    <x v="1"/>
    <x v="1"/>
    <x v="3"/>
    <s v="EB"/>
    <n v="2"/>
    <n v="8"/>
    <x v="1"/>
    <b v="1"/>
    <x v="115"/>
    <m/>
    <m/>
  </r>
  <r>
    <n v="8"/>
    <n v="2"/>
    <s v="U2"/>
    <n v="117"/>
    <s v="117_U2_Wen_OT_WW_R2_JEx_rep4"/>
    <x v="0"/>
    <x v="0"/>
    <x v="1"/>
    <x v="1"/>
    <s v="JEx"/>
    <n v="2"/>
    <n v="4"/>
    <x v="4"/>
    <b v="0"/>
    <x v="116"/>
    <m/>
    <m/>
  </r>
  <r>
    <n v="8"/>
    <n v="2"/>
    <s v="U2"/>
    <n v="117"/>
    <s v="117_U2_Wen_OT_WW_R2_JEx_rep4"/>
    <x v="0"/>
    <x v="0"/>
    <x v="1"/>
    <x v="2"/>
    <s v="JEx"/>
    <n v="2"/>
    <n v="4"/>
    <x v="4"/>
    <b v="1"/>
    <x v="117"/>
    <m/>
    <m/>
  </r>
  <r>
    <n v="9"/>
    <n v="2"/>
    <s v="U2"/>
    <n v="119"/>
    <s v="119_U2_Sto_OT_WS_R2_EB_rep8"/>
    <x v="0"/>
    <x v="1"/>
    <x v="0"/>
    <x v="0"/>
    <s v="EB"/>
    <n v="2"/>
    <n v="8"/>
    <x v="1"/>
    <b v="0"/>
    <x v="118"/>
    <m/>
    <m/>
  </r>
  <r>
    <n v="9"/>
    <n v="2"/>
    <s v="U2"/>
    <n v="119"/>
    <s v="119_U2_Sto_OT_WS_R2_EB_rep8"/>
    <x v="0"/>
    <x v="1"/>
    <x v="0"/>
    <x v="3"/>
    <s v="EB"/>
    <n v="2"/>
    <n v="8"/>
    <x v="1"/>
    <b v="1"/>
    <x v="119"/>
    <m/>
    <m/>
  </r>
  <r>
    <n v="10"/>
    <n v="2"/>
    <s v="U2"/>
    <n v="121"/>
    <s v="121_U2_Sto_OT_WW_R2_JEx_rep4"/>
    <x v="0"/>
    <x v="0"/>
    <x v="0"/>
    <x v="1"/>
    <s v="JEx"/>
    <n v="2"/>
    <n v="4"/>
    <x v="4"/>
    <b v="0"/>
    <x v="120"/>
    <m/>
    <m/>
  </r>
  <r>
    <n v="10"/>
    <n v="2"/>
    <s v="U2"/>
    <n v="121"/>
    <s v="121_U2_Sto_OT_WW_R2_JEx_rep4"/>
    <x v="0"/>
    <x v="0"/>
    <x v="0"/>
    <x v="2"/>
    <s v="JEx"/>
    <n v="2"/>
    <n v="4"/>
    <x v="4"/>
    <b v="1"/>
    <x v="121"/>
    <m/>
    <m/>
  </r>
  <r>
    <n v="11"/>
    <n v="2"/>
    <s v="U2"/>
    <n v="123"/>
    <s v="123_U2_Wen_OT_WS_R2_JEx_rep5"/>
    <x v="0"/>
    <x v="1"/>
    <x v="1"/>
    <x v="1"/>
    <s v="JEx"/>
    <n v="2"/>
    <n v="5"/>
    <x v="1"/>
    <b v="0"/>
    <x v="122"/>
    <m/>
    <m/>
  </r>
  <r>
    <n v="11"/>
    <n v="2"/>
    <s v="U2"/>
    <n v="123"/>
    <s v="123_U2_Wen_OT_WS_R2_JEx_rep5"/>
    <x v="0"/>
    <x v="1"/>
    <x v="1"/>
    <x v="2"/>
    <s v="JEx"/>
    <n v="2"/>
    <n v="5"/>
    <x v="1"/>
    <b v="1"/>
    <x v="123"/>
    <m/>
    <m/>
  </r>
  <r>
    <n v="12"/>
    <n v="2"/>
    <s v="U2"/>
    <n v="125"/>
    <s v="125_U2_Wen_OT_WW_R2_JEx_rep5"/>
    <x v="0"/>
    <x v="0"/>
    <x v="1"/>
    <x v="1"/>
    <s v="JEx"/>
    <n v="2"/>
    <n v="5"/>
    <x v="1"/>
    <b v="0"/>
    <x v="124"/>
    <m/>
    <m/>
  </r>
  <r>
    <n v="12"/>
    <n v="2"/>
    <s v="U2"/>
    <n v="125"/>
    <s v="125_U2_Wen_OT_WW_R2_JEx_rep5"/>
    <x v="0"/>
    <x v="0"/>
    <x v="1"/>
    <x v="2"/>
    <s v="JEx"/>
    <n v="2"/>
    <n v="5"/>
    <x v="1"/>
    <b v="1"/>
    <x v="125"/>
    <m/>
    <m/>
  </r>
  <r>
    <n v="13"/>
    <n v="2"/>
    <s v="U2"/>
    <n v="127"/>
    <s v="127_U2_Sto_OT_WW_R2_EB_rep8"/>
    <x v="0"/>
    <x v="0"/>
    <x v="0"/>
    <x v="0"/>
    <s v="EB"/>
    <n v="2"/>
    <n v="8"/>
    <x v="1"/>
    <b v="0"/>
    <x v="126"/>
    <m/>
    <m/>
  </r>
  <r>
    <n v="13"/>
    <n v="2"/>
    <s v="U2"/>
    <n v="127"/>
    <s v="127_U2_Sto_OT_WW_R2_EB_rep8"/>
    <x v="0"/>
    <x v="0"/>
    <x v="0"/>
    <x v="3"/>
    <s v="EB"/>
    <n v="2"/>
    <n v="8"/>
    <x v="1"/>
    <b v="1"/>
    <x v="127"/>
    <m/>
    <m/>
  </r>
  <r>
    <n v="14"/>
    <n v="2"/>
    <s v="U2"/>
    <n v="129"/>
    <s v="129_U2_Sto_OT_WS_R2_JEx_rep5"/>
    <x v="0"/>
    <x v="1"/>
    <x v="0"/>
    <x v="1"/>
    <s v="JEx"/>
    <n v="2"/>
    <n v="5"/>
    <x v="1"/>
    <b v="0"/>
    <x v="128"/>
    <m/>
    <m/>
  </r>
  <r>
    <n v="14"/>
    <n v="2"/>
    <s v="U2"/>
    <n v="129"/>
    <s v="129_U2_Sto_OT_WS_R2_JEx_rep5"/>
    <x v="0"/>
    <x v="1"/>
    <x v="0"/>
    <x v="2"/>
    <s v="JEx"/>
    <n v="2"/>
    <n v="5"/>
    <x v="1"/>
    <b v="1"/>
    <x v="129"/>
    <m/>
    <s v="tube ouvert dans l'azote concernant le contrôle de contamination"/>
  </r>
  <r>
    <n v="15"/>
    <n v="2"/>
    <s v="U2"/>
    <n v="131"/>
    <s v="131_U2_Wen_OT_WW_R2_EB_rep8"/>
    <x v="0"/>
    <x v="0"/>
    <x v="1"/>
    <x v="0"/>
    <s v="EB"/>
    <n v="2"/>
    <n v="8"/>
    <x v="1"/>
    <b v="0"/>
    <x v="130"/>
    <m/>
    <m/>
  </r>
  <r>
    <n v="15"/>
    <n v="2"/>
    <s v="U2"/>
    <n v="131"/>
    <s v="131_U2_Wen_OT_WW_R2_EB_rep8"/>
    <x v="0"/>
    <x v="0"/>
    <x v="1"/>
    <x v="3"/>
    <s v="EB"/>
    <n v="2"/>
    <n v="8"/>
    <x v="1"/>
    <b v="1"/>
    <x v="131"/>
    <m/>
    <m/>
  </r>
  <r>
    <n v="16"/>
    <n v="2"/>
    <s v="U2"/>
    <n v="133"/>
    <s v="133_U2_Sto_OT_WW_R2_JEx_rep5"/>
    <x v="0"/>
    <x v="0"/>
    <x v="0"/>
    <x v="3"/>
    <m/>
    <n v="2"/>
    <n v="5"/>
    <x v="1"/>
    <b v="0"/>
    <x v="132"/>
    <s v="oui par 101"/>
    <s v="remplacement BM"/>
  </r>
  <r>
    <n v="16"/>
    <n v="2"/>
    <s v="U2"/>
    <n v="133"/>
    <s v="133_U2_Sto_OT_WW_R2_JEx_rep5"/>
    <x v="0"/>
    <x v="0"/>
    <x v="0"/>
    <x v="4"/>
    <s v="JEx"/>
    <m/>
    <n v="5"/>
    <x v="2"/>
    <b v="1"/>
    <x v="133"/>
    <s v="oui par 102"/>
    <s v="des ramification qui demarent"/>
  </r>
  <r>
    <n v="17"/>
    <n v="2"/>
    <s v="U2"/>
    <n v="135"/>
    <s v="135_U2_Sto_OT_WW_R1_EB_rep3"/>
    <x v="0"/>
    <x v="0"/>
    <x v="0"/>
    <x v="0"/>
    <s v="EB"/>
    <n v="1"/>
    <n v="3"/>
    <x v="0"/>
    <b v="0"/>
    <x v="134"/>
    <m/>
    <m/>
  </r>
  <r>
    <n v="17"/>
    <n v="2"/>
    <s v="U2"/>
    <n v="135"/>
    <s v="135_U2_Sto_OT_WW_R1_EB_rep3"/>
    <x v="0"/>
    <x v="0"/>
    <x v="0"/>
    <x v="0"/>
    <s v="EB"/>
    <n v="1"/>
    <n v="3"/>
    <x v="0"/>
    <b v="1"/>
    <x v="135"/>
    <m/>
    <m/>
  </r>
  <r>
    <n v="18"/>
    <n v="2"/>
    <s v="U2"/>
    <n v="137"/>
    <s v="137_U2_Wen_OT_WW_R1_JEx_rep3"/>
    <x v="0"/>
    <x v="0"/>
    <x v="1"/>
    <x v="0"/>
    <s v="EB"/>
    <n v="2"/>
    <n v="3"/>
    <x v="1"/>
    <b v="0"/>
    <x v="136"/>
    <m/>
    <m/>
  </r>
  <r>
    <n v="18"/>
    <n v="2"/>
    <s v="U2"/>
    <n v="137"/>
    <s v="137_U2_Wen_OT_WW_R1_JEx_rep3"/>
    <x v="0"/>
    <x v="0"/>
    <x v="1"/>
    <x v="3"/>
    <s v="EB"/>
    <n v="2"/>
    <n v="3"/>
    <x v="1"/>
    <b v="1"/>
    <x v="137"/>
    <m/>
    <m/>
  </r>
  <r>
    <n v="19"/>
    <n v="2"/>
    <s v="U2"/>
    <n v="139"/>
    <s v="139_U2_Sto_OT_WW_R1_JEx_rep3"/>
    <x v="0"/>
    <x v="0"/>
    <x v="0"/>
    <x v="0"/>
    <s v="JEx"/>
    <n v="2"/>
    <n v="3"/>
    <x v="1"/>
    <b v="0"/>
    <x v="138"/>
    <m/>
    <m/>
  </r>
  <r>
    <n v="19"/>
    <n v="2"/>
    <s v="U2"/>
    <n v="139"/>
    <s v="139_U2_Sto_OT_WW_R1_JEx_rep3"/>
    <x v="0"/>
    <x v="0"/>
    <x v="0"/>
    <x v="3"/>
    <s v="JEx"/>
    <n v="2"/>
    <n v="3"/>
    <x v="1"/>
    <b v="1"/>
    <x v="139"/>
    <m/>
    <m/>
  </r>
  <r>
    <n v="20"/>
    <n v="2"/>
    <s v="U2"/>
    <n v="141"/>
    <s v="141_U2_Wen_OT_WW_R1_EB_rep3"/>
    <x v="0"/>
    <x v="0"/>
    <x v="1"/>
    <x v="0"/>
    <s v="EB"/>
    <n v="1"/>
    <n v="3"/>
    <x v="0"/>
    <b v="0"/>
    <x v="140"/>
    <m/>
    <m/>
  </r>
  <r>
    <n v="20"/>
    <n v="2"/>
    <s v="U2"/>
    <n v="141"/>
    <s v="141_U2_Wen_OT_WW_R1_EB_rep3"/>
    <x v="0"/>
    <x v="0"/>
    <x v="1"/>
    <x v="0"/>
    <s v="EB"/>
    <n v="1"/>
    <n v="3"/>
    <x v="0"/>
    <b v="1"/>
    <x v="141"/>
    <m/>
    <m/>
  </r>
  <r>
    <n v="21"/>
    <n v="2"/>
    <s v="U2"/>
    <n v="143"/>
    <s v="143_U2_Wen_OT_WW_Rx_SPARE_repX"/>
    <x v="0"/>
    <x v="0"/>
    <x v="1"/>
    <x v="1"/>
    <s v="JEx"/>
    <n v="2"/>
    <m/>
    <x v="1"/>
    <b v="0"/>
    <x v="142"/>
    <m/>
    <m/>
  </r>
  <r>
    <n v="21"/>
    <n v="2"/>
    <s v="U2"/>
    <n v="143"/>
    <s v="143_U2_Wen_OT_WW_Rx_SPARE_repX"/>
    <x v="0"/>
    <x v="0"/>
    <x v="1"/>
    <x v="2"/>
    <s v="JEx"/>
    <n v="2"/>
    <m/>
    <x v="1"/>
    <b v="1"/>
    <x v="143"/>
    <m/>
    <m/>
  </r>
  <r>
    <n v="1"/>
    <n v="5"/>
    <s v="U3"/>
    <n v="1001"/>
    <s v="1001_U3_Sto_OT_WW_R1_EB_rep1"/>
    <x v="0"/>
    <x v="0"/>
    <x v="0"/>
    <x v="0"/>
    <s v="EB"/>
    <n v="1"/>
    <n v="1"/>
    <x v="0"/>
    <b v="0"/>
    <x v="144"/>
    <m/>
    <s v="sol pas pris, pb membrane"/>
  </r>
  <r>
    <n v="1"/>
    <n v="5"/>
    <s v="U3"/>
    <n v="1001"/>
    <s v="1001_U3_Sto_OT_WW_R1_EB_rep1"/>
    <x v="0"/>
    <x v="0"/>
    <x v="0"/>
    <x v="0"/>
    <s v="EB"/>
    <n v="1"/>
    <n v="1"/>
    <x v="0"/>
    <b v="1"/>
    <x v="145"/>
    <m/>
    <s v="sol pas pris, pb membrane"/>
  </r>
  <r>
    <n v="2"/>
    <n v="5"/>
    <s v="U3"/>
    <n v="1003"/>
    <s v="1003_U3_Wen_OT_WW_R1_JEx_rep1"/>
    <x v="1"/>
    <x v="0"/>
    <x v="1"/>
    <x v="1"/>
    <s v="JEx"/>
    <n v="2"/>
    <m/>
    <x v="1"/>
    <b v="0"/>
    <x v="146"/>
    <m/>
    <s v="test exudats"/>
  </r>
  <r>
    <n v="2"/>
    <n v="5"/>
    <s v="U3"/>
    <n v="1003"/>
    <s v="1003_U3_Wen_OT_WW_R1_JEx_rep1"/>
    <x v="1"/>
    <x v="0"/>
    <x v="1"/>
    <x v="2"/>
    <s v="JEx"/>
    <n v="2"/>
    <n v="1"/>
    <x v="1"/>
    <b v="1"/>
    <x v="147"/>
    <m/>
    <s v="pas de tube contamination_test"/>
  </r>
  <r>
    <n v="3"/>
    <n v="5"/>
    <s v="U3"/>
    <n v="1005"/>
    <s v="1005_U3_Sto_OT_WW_R1_JEx_rep1"/>
    <x v="1"/>
    <x v="0"/>
    <x v="0"/>
    <x v="1"/>
    <s v="JEx"/>
    <n v="2"/>
    <n v="1"/>
    <x v="5"/>
    <b v="0"/>
    <x v="148"/>
    <s v="oui par 1053"/>
    <s v="test pour exsudats, pb apex démarage"/>
  </r>
  <r>
    <n v="3"/>
    <n v="5"/>
    <s v="U3"/>
    <n v="1005"/>
    <s v="1005_U3_Sto_OT_WW_R1_JEx_rep1"/>
    <x v="1"/>
    <x v="0"/>
    <x v="0"/>
    <x v="1"/>
    <m/>
    <m/>
    <n v="1"/>
    <x v="5"/>
    <b v="1"/>
    <x v="149"/>
    <s v="oui par 1054"/>
    <s v="test pour exsudats"/>
  </r>
  <r>
    <n v="4"/>
    <n v="5"/>
    <s v="U3"/>
    <n v="1007"/>
    <s v="1007_U3_Wen_OT_WW_R1_EB_rep1"/>
    <x v="0"/>
    <x v="0"/>
    <x v="1"/>
    <x v="0"/>
    <s v="EB"/>
    <n v="1"/>
    <n v="1"/>
    <x v="0"/>
    <b v="0"/>
    <x v="150"/>
    <m/>
    <m/>
  </r>
  <r>
    <n v="4"/>
    <n v="5"/>
    <s v="U3"/>
    <n v="1007"/>
    <s v="1007_U3_Wen_OT_WW_R1_EB_rep1"/>
    <x v="0"/>
    <x v="0"/>
    <x v="1"/>
    <x v="0"/>
    <s v="EB"/>
    <n v="1"/>
    <n v="1"/>
    <x v="0"/>
    <b v="1"/>
    <x v="151"/>
    <m/>
    <m/>
  </r>
  <r>
    <n v="5"/>
    <n v="5"/>
    <s v="U3"/>
    <n v="1009"/>
    <s v="1009_U3_Sto_OT_WW_R1_JEx_rep2"/>
    <x v="1"/>
    <x v="0"/>
    <x v="0"/>
    <x v="1"/>
    <s v="JEx"/>
    <n v="2"/>
    <n v="2"/>
    <x v="5"/>
    <b v="0"/>
    <x v="152"/>
    <m/>
    <s v="test pour exsudats"/>
  </r>
  <r>
    <n v="5"/>
    <n v="5"/>
    <s v="U3"/>
    <n v="1009"/>
    <s v="1009_U3_Sto_OT_WW_R1_JEx_rep2"/>
    <x v="1"/>
    <x v="0"/>
    <x v="0"/>
    <x v="1"/>
    <s v="JEx"/>
    <n v="2"/>
    <n v="2"/>
    <x v="5"/>
    <b v="1"/>
    <x v="153"/>
    <m/>
    <s v="test pour exsudats"/>
  </r>
  <r>
    <n v="6"/>
    <n v="5"/>
    <s v="U3"/>
    <n v="1011"/>
    <s v="1011_U3_Wen_OT_WW_R1_EB_rep2"/>
    <x v="0"/>
    <x v="0"/>
    <x v="1"/>
    <x v="0"/>
    <s v="EB"/>
    <n v="1"/>
    <n v="2"/>
    <x v="0"/>
    <b v="0"/>
    <x v="154"/>
    <m/>
    <m/>
  </r>
  <r>
    <n v="6"/>
    <n v="5"/>
    <s v="U3"/>
    <n v="1011"/>
    <s v="1011_U3_Wen_OT_WW_R1_EB_rep2"/>
    <x v="0"/>
    <x v="0"/>
    <x v="1"/>
    <x v="0"/>
    <s v="EB"/>
    <n v="1"/>
    <n v="2"/>
    <x v="0"/>
    <b v="1"/>
    <x v="155"/>
    <m/>
    <m/>
  </r>
  <r>
    <n v="7"/>
    <n v="5"/>
    <s v="U3"/>
    <n v="1013"/>
    <s v="1013_U3_Sto_OT_WW_R1_EB_rep2"/>
    <x v="0"/>
    <x v="0"/>
    <x v="0"/>
    <x v="0"/>
    <s v="EB"/>
    <n v="1"/>
    <n v="2"/>
    <x v="0"/>
    <b v="0"/>
    <x v="156"/>
    <m/>
    <m/>
  </r>
  <r>
    <n v="7"/>
    <n v="5"/>
    <s v="U3"/>
    <n v="1013"/>
    <s v="1013_U3_Sto_OT_WW_R1_EB_rep2"/>
    <x v="0"/>
    <x v="0"/>
    <x v="0"/>
    <x v="0"/>
    <s v="EB"/>
    <n v="1"/>
    <n v="2"/>
    <x v="0"/>
    <b v="1"/>
    <x v="157"/>
    <m/>
    <m/>
  </r>
  <r>
    <n v="8"/>
    <n v="5"/>
    <s v="U3"/>
    <n v="1015"/>
    <s v="1015_U3_Wen_OT_WW_R1_JEx_rep2"/>
    <x v="1"/>
    <x v="0"/>
    <x v="1"/>
    <x v="1"/>
    <s v="JEx"/>
    <n v="2"/>
    <n v="2"/>
    <x v="5"/>
    <b v="0"/>
    <x v="158"/>
    <m/>
    <s v="test pour exudats"/>
  </r>
  <r>
    <n v="8"/>
    <n v="5"/>
    <s v="U3"/>
    <n v="1015"/>
    <s v="1015_U3_Wen_OT_WW_R1_JEx_rep2"/>
    <x v="1"/>
    <x v="0"/>
    <x v="1"/>
    <x v="1"/>
    <s v="JEx"/>
    <n v="2"/>
    <n v="2"/>
    <x v="5"/>
    <b v="1"/>
    <x v="159"/>
    <m/>
    <s v="test pour exudats"/>
  </r>
  <r>
    <n v="1"/>
    <n v="4"/>
    <s v="U3"/>
    <n v="1017"/>
    <s v="1017_U3_Sto_HS_WW_R2_EB_rep1"/>
    <x v="1"/>
    <x v="0"/>
    <x v="0"/>
    <x v="0"/>
    <s v="EB"/>
    <n v="2"/>
    <n v="1"/>
    <x v="3"/>
    <b v="0"/>
    <x v="160"/>
    <m/>
    <m/>
  </r>
  <r>
    <n v="1"/>
    <n v="4"/>
    <s v="U3"/>
    <n v="1017"/>
    <s v="1017_U3_Sto_HS_WW_R2_EB_rep1"/>
    <x v="1"/>
    <x v="0"/>
    <x v="0"/>
    <x v="3"/>
    <s v="EB"/>
    <n v="2"/>
    <n v="1"/>
    <x v="3"/>
    <b v="1"/>
    <x v="161"/>
    <m/>
    <m/>
  </r>
  <r>
    <n v="2"/>
    <n v="4"/>
    <s v="U3"/>
    <n v="1019"/>
    <s v="1019_U3_Wen_HS_WW_R2_EB_rep1"/>
    <x v="1"/>
    <x v="0"/>
    <x v="1"/>
    <x v="0"/>
    <s v="EB"/>
    <n v="2"/>
    <n v="1"/>
    <x v="3"/>
    <b v="0"/>
    <x v="162"/>
    <m/>
    <m/>
  </r>
  <r>
    <n v="2"/>
    <n v="4"/>
    <s v="U3"/>
    <n v="1019"/>
    <s v="1019_U3_Wen_HS_WW_R2_EB_rep1"/>
    <x v="1"/>
    <x v="0"/>
    <x v="1"/>
    <x v="3"/>
    <s v="EB"/>
    <n v="2"/>
    <n v="1"/>
    <x v="3"/>
    <b v="1"/>
    <x v="163"/>
    <m/>
    <m/>
  </r>
  <r>
    <n v="3"/>
    <n v="4"/>
    <s v="U3"/>
    <n v="1021"/>
    <s v="1021_U3_Wen_HS_WS_R2_JEx_rep1"/>
    <x v="1"/>
    <x v="1"/>
    <x v="1"/>
    <x v="1"/>
    <s v="JEx"/>
    <n v="2"/>
    <n v="1"/>
    <x v="3"/>
    <b v="0"/>
    <x v="164"/>
    <m/>
    <m/>
  </r>
  <r>
    <n v="3"/>
    <n v="4"/>
    <s v="U3"/>
    <n v="1021"/>
    <s v="1021_U3_Wen_HS_WS_R2_JEx_rep1"/>
    <x v="1"/>
    <x v="1"/>
    <x v="1"/>
    <x v="2"/>
    <s v="JEx"/>
    <n v="2"/>
    <n v="1"/>
    <x v="3"/>
    <b v="1"/>
    <x v="165"/>
    <m/>
    <m/>
  </r>
  <r>
    <n v="4"/>
    <n v="4"/>
    <s v="U3"/>
    <n v="1023"/>
    <s v="1023_U3_Wen_HS_WS_R2_EB_rep1"/>
    <x v="1"/>
    <x v="1"/>
    <x v="1"/>
    <x v="0"/>
    <s v="EB"/>
    <n v="2"/>
    <n v="1"/>
    <x v="3"/>
    <b v="0"/>
    <x v="166"/>
    <m/>
    <m/>
  </r>
  <r>
    <n v="4"/>
    <n v="4"/>
    <s v="U3"/>
    <n v="1023"/>
    <s v="1023_U3_Wen_HS_WS_R2_EB_rep1"/>
    <x v="1"/>
    <x v="1"/>
    <x v="1"/>
    <x v="3"/>
    <s v="EB"/>
    <n v="2"/>
    <n v="1"/>
    <x v="3"/>
    <b v="1"/>
    <x v="167"/>
    <m/>
    <m/>
  </r>
  <r>
    <n v="5"/>
    <n v="4"/>
    <s v="U3"/>
    <n v="1025"/>
    <s v="1025_U3_Sto_HS_WS_R2_EB_rep1"/>
    <x v="1"/>
    <x v="1"/>
    <x v="0"/>
    <x v="0"/>
    <s v="EB"/>
    <n v="2"/>
    <n v="1"/>
    <x v="3"/>
    <b v="0"/>
    <x v="168"/>
    <m/>
    <m/>
  </r>
  <r>
    <n v="5"/>
    <n v="4"/>
    <s v="U3"/>
    <n v="1025"/>
    <s v="1025_U3_Sto_HS_WS_R2_EB_rep1"/>
    <x v="1"/>
    <x v="1"/>
    <x v="0"/>
    <x v="3"/>
    <s v="EB"/>
    <n v="2"/>
    <n v="1"/>
    <x v="3"/>
    <b v="1"/>
    <x v="169"/>
    <m/>
    <m/>
  </r>
  <r>
    <n v="6"/>
    <n v="4"/>
    <s v="U3"/>
    <n v="1027"/>
    <s v="1027_U3_Sto_HS_WW_R2_EB_rep2"/>
    <x v="1"/>
    <x v="0"/>
    <x v="0"/>
    <x v="0"/>
    <s v="EB"/>
    <n v="2"/>
    <n v="2"/>
    <x v="3"/>
    <b v="0"/>
    <x v="170"/>
    <m/>
    <m/>
  </r>
  <r>
    <n v="6"/>
    <n v="4"/>
    <s v="U3"/>
    <n v="1027"/>
    <s v="1027_U3_Sto_HS_WW_R2_EB_rep2"/>
    <x v="1"/>
    <x v="0"/>
    <x v="0"/>
    <x v="3"/>
    <s v="EB"/>
    <n v="2"/>
    <n v="2"/>
    <x v="3"/>
    <b v="1"/>
    <x v="171"/>
    <m/>
    <m/>
  </r>
  <r>
    <n v="7"/>
    <n v="4"/>
    <s v="U3"/>
    <n v="1029"/>
    <s v="1029_U3_Wen_HS_WW_R2_EB_rep2"/>
    <x v="1"/>
    <x v="0"/>
    <x v="1"/>
    <x v="0"/>
    <s v="EB"/>
    <n v="2"/>
    <n v="2"/>
    <x v="3"/>
    <b v="0"/>
    <x v="172"/>
    <m/>
    <m/>
  </r>
  <r>
    <n v="7"/>
    <n v="4"/>
    <s v="U3"/>
    <n v="1029"/>
    <s v="1029_U3_Wen_HS_WW_R2_EB_rep2"/>
    <x v="1"/>
    <x v="0"/>
    <x v="1"/>
    <x v="3"/>
    <s v="EB"/>
    <n v="2"/>
    <n v="2"/>
    <x v="3"/>
    <b v="1"/>
    <x v="173"/>
    <m/>
    <m/>
  </r>
  <r>
    <n v="8"/>
    <n v="4"/>
    <s v="U3"/>
    <n v="1031"/>
    <s v="1031_U3_Sto_HS_WW_R2_JEx_rep1"/>
    <x v="1"/>
    <x v="0"/>
    <x v="0"/>
    <x v="1"/>
    <s v="JEx"/>
    <n v="2"/>
    <n v="1"/>
    <x v="3"/>
    <b v="0"/>
    <x v="174"/>
    <m/>
    <m/>
  </r>
  <r>
    <n v="8"/>
    <n v="4"/>
    <s v="U3"/>
    <n v="1031"/>
    <s v="1031_U3_Sto_HS_WW_R2_JEx_rep1"/>
    <x v="1"/>
    <x v="0"/>
    <x v="0"/>
    <x v="2"/>
    <s v="JEx"/>
    <n v="2"/>
    <n v="1"/>
    <x v="3"/>
    <b v="1"/>
    <x v="175"/>
    <m/>
    <m/>
  </r>
  <r>
    <n v="9"/>
    <n v="4"/>
    <s v="U3"/>
    <n v="1033"/>
    <s v="1033_U3_Wen_HS_WS_R2_EB_rep2"/>
    <x v="1"/>
    <x v="1"/>
    <x v="1"/>
    <x v="0"/>
    <s v="EB"/>
    <n v="2"/>
    <n v="2"/>
    <x v="3"/>
    <b v="0"/>
    <x v="176"/>
    <m/>
    <m/>
  </r>
  <r>
    <n v="9"/>
    <n v="4"/>
    <s v="U3"/>
    <n v="1033"/>
    <s v="1033_U3_Wen_HS_WS_R2_EB_rep2"/>
    <x v="1"/>
    <x v="1"/>
    <x v="1"/>
    <x v="3"/>
    <s v="EB"/>
    <n v="2"/>
    <n v="2"/>
    <x v="3"/>
    <b v="1"/>
    <x v="177"/>
    <m/>
    <m/>
  </r>
  <r>
    <n v="10"/>
    <n v="4"/>
    <s v="U3"/>
    <n v="1035"/>
    <s v="1035_U3_Wen_HS_WW_R2_JEx_rep1"/>
    <x v="1"/>
    <x v="0"/>
    <x v="1"/>
    <x v="1"/>
    <s v="JEx"/>
    <n v="2"/>
    <n v="1"/>
    <x v="5"/>
    <b v="0"/>
    <x v="178"/>
    <s v="oui par 1143"/>
    <s v="toute petite, test exsudats"/>
  </r>
  <r>
    <n v="10"/>
    <n v="4"/>
    <s v="U3"/>
    <n v="1035"/>
    <s v="1035_U3_Wen_HS_WW_R2_JEx_rep1"/>
    <x v="1"/>
    <x v="0"/>
    <x v="1"/>
    <x v="0"/>
    <s v="JEx"/>
    <n v="2"/>
    <n v="1"/>
    <x v="5"/>
    <b v="1"/>
    <x v="179"/>
    <s v="oui par 1144"/>
    <s v="juste fait un scan, rien de plus (pas d'exsudation)"/>
  </r>
  <r>
    <n v="11"/>
    <n v="4"/>
    <s v="U3"/>
    <n v="1037"/>
    <s v="1037_U3_Sto_HS_WS_R2_EB_rep2"/>
    <x v="1"/>
    <x v="1"/>
    <x v="0"/>
    <x v="0"/>
    <s v="EB"/>
    <n v="2"/>
    <n v="2"/>
    <x v="3"/>
    <b v="0"/>
    <x v="180"/>
    <m/>
    <m/>
  </r>
  <r>
    <n v="11"/>
    <n v="4"/>
    <s v="U3"/>
    <n v="1037"/>
    <s v="1037_U3_Sto_HS_WS_R2_EB_rep2"/>
    <x v="1"/>
    <x v="1"/>
    <x v="0"/>
    <x v="4"/>
    <s v="EB"/>
    <m/>
    <n v="2"/>
    <x v="2"/>
    <b v="1"/>
    <x v="181"/>
    <m/>
    <s v="fletrissement 2 jours avant récolte"/>
  </r>
  <r>
    <n v="12"/>
    <n v="4"/>
    <s v="U3"/>
    <n v="1039"/>
    <s v="1039_U3_Sto_HS_WW_R2_EB_rep3"/>
    <x v="1"/>
    <x v="0"/>
    <x v="0"/>
    <x v="0"/>
    <s v="EB"/>
    <n v="2"/>
    <n v="3"/>
    <x v="3"/>
    <b v="0"/>
    <x v="182"/>
    <m/>
    <m/>
  </r>
  <r>
    <n v="12"/>
    <n v="4"/>
    <s v="U3"/>
    <n v="1039"/>
    <s v="1039_U3_Sto_HS_WW_R2_EB_rep3"/>
    <x v="1"/>
    <x v="0"/>
    <x v="0"/>
    <x v="3"/>
    <s v="EB"/>
    <n v="2"/>
    <n v="3"/>
    <x v="3"/>
    <b v="1"/>
    <x v="183"/>
    <m/>
    <m/>
  </r>
  <r>
    <n v="13"/>
    <n v="4"/>
    <s v="U3"/>
    <n v="1041"/>
    <s v="1041_U3_Sto_HS_WS_R2_EB_rep3"/>
    <x v="1"/>
    <x v="1"/>
    <x v="0"/>
    <x v="4"/>
    <m/>
    <m/>
    <n v="3"/>
    <x v="2"/>
    <b v="0"/>
    <x v="184"/>
    <s v="oui par 1049"/>
    <s v="hors type jeter"/>
  </r>
  <r>
    <n v="13"/>
    <n v="4"/>
    <s v="U3"/>
    <n v="1041"/>
    <s v="1041_U3_Sto_HS_WS_R2_EB_rep3"/>
    <x v="1"/>
    <x v="1"/>
    <x v="0"/>
    <x v="3"/>
    <s v="EB"/>
    <n v="2"/>
    <n v="3"/>
    <x v="1"/>
    <b v="1"/>
    <x v="185"/>
    <s v="oui par 1050"/>
    <m/>
  </r>
  <r>
    <n v="14"/>
    <n v="4"/>
    <s v="U3"/>
    <n v="1043"/>
    <s v="1043_U3_Wen_HS_WW_R2_EB_rep3"/>
    <x v="1"/>
    <x v="0"/>
    <x v="1"/>
    <x v="0"/>
    <s v="EB"/>
    <n v="2"/>
    <n v="3"/>
    <x v="3"/>
    <b v="0"/>
    <x v="186"/>
    <m/>
    <m/>
  </r>
  <r>
    <n v="14"/>
    <n v="4"/>
    <s v="U3"/>
    <n v="1043"/>
    <s v="1043_U3_Wen_HS_WW_R2_EB_rep3"/>
    <x v="1"/>
    <x v="0"/>
    <x v="1"/>
    <x v="3"/>
    <s v="EB"/>
    <n v="2"/>
    <n v="3"/>
    <x v="3"/>
    <b v="1"/>
    <x v="187"/>
    <m/>
    <m/>
  </r>
  <r>
    <n v="15"/>
    <n v="4"/>
    <s v="U3"/>
    <n v="1045"/>
    <s v="1045_U3_Sto_HS_WS_R2_JEx_rep1"/>
    <x v="1"/>
    <x v="1"/>
    <x v="0"/>
    <x v="1"/>
    <s v="JEx"/>
    <n v="2"/>
    <n v="1"/>
    <x v="3"/>
    <b v="0"/>
    <x v="188"/>
    <m/>
    <m/>
  </r>
  <r>
    <n v="15"/>
    <n v="4"/>
    <s v="U3"/>
    <n v="1045"/>
    <s v="1045_U3_Sto_HS_WS_R2_JEx_rep1"/>
    <x v="1"/>
    <x v="1"/>
    <x v="0"/>
    <x v="2"/>
    <s v="JEx"/>
    <n v="2"/>
    <n v="1"/>
    <x v="3"/>
    <b v="1"/>
    <x v="189"/>
    <m/>
    <m/>
  </r>
  <r>
    <n v="16"/>
    <n v="4"/>
    <s v="U3"/>
    <n v="1047"/>
    <s v="1047_U3_Wen_HS_WS_R2_EB_rep3"/>
    <x v="1"/>
    <x v="1"/>
    <x v="1"/>
    <x v="0"/>
    <s v="EB"/>
    <n v="2"/>
    <n v="3"/>
    <x v="3"/>
    <b v="0"/>
    <x v="190"/>
    <m/>
    <m/>
  </r>
  <r>
    <n v="16"/>
    <n v="4"/>
    <s v="U3"/>
    <n v="1047"/>
    <s v="1047_U3_Wen_HS_WS_R2_EB_rep3"/>
    <x v="1"/>
    <x v="1"/>
    <x v="1"/>
    <x v="3"/>
    <s v="EB"/>
    <n v="2"/>
    <n v="3"/>
    <x v="3"/>
    <b v="1"/>
    <x v="191"/>
    <m/>
    <m/>
  </r>
  <r>
    <n v="17"/>
    <n v="4"/>
    <s v="U3"/>
    <n v="1049"/>
    <s v="1049_U3_Sto_HS_WS_Rx_SPARE_repX"/>
    <x v="1"/>
    <x v="1"/>
    <x v="0"/>
    <x v="0"/>
    <s v="EB"/>
    <n v="2"/>
    <m/>
    <x v="4"/>
    <b v="0"/>
    <x v="192"/>
    <m/>
    <s v="ne pas prendre cette plante (flétrie)"/>
  </r>
  <r>
    <n v="17"/>
    <n v="4"/>
    <s v="U3"/>
    <n v="1049"/>
    <s v="1049_U3_Sto_HS_WS_Rx_SPARE_repX"/>
    <x v="1"/>
    <x v="1"/>
    <x v="0"/>
    <x v="3"/>
    <s v="EB"/>
    <n v="2"/>
    <m/>
    <x v="4"/>
    <b v="1"/>
    <x v="193"/>
    <m/>
    <s v="pas de bulk, et une partie des racines dans substrats"/>
  </r>
  <r>
    <n v="18"/>
    <n v="4"/>
    <s v="U3"/>
    <n v="1051"/>
    <s v="1051_U3_Wen_HS_WS_Rx_SPARE_repX"/>
    <x v="1"/>
    <x v="1"/>
    <x v="1"/>
    <x v="1"/>
    <s v="EB"/>
    <n v="2"/>
    <m/>
    <x v="5"/>
    <b v="0"/>
    <x v="194"/>
    <m/>
    <s v="test pour exudats"/>
  </r>
  <r>
    <n v="18"/>
    <n v="4"/>
    <s v="U3"/>
    <n v="1051"/>
    <s v="1051_U3_Wen_HS_WS_Rx_SPARE_repX"/>
    <x v="1"/>
    <x v="1"/>
    <x v="1"/>
    <x v="4"/>
    <s v="EB"/>
    <n v="2"/>
    <m/>
    <x v="2"/>
    <b v="1"/>
    <x v="195"/>
    <m/>
    <s v="plante morte avant recolte"/>
  </r>
  <r>
    <n v="19"/>
    <n v="4"/>
    <s v="U3"/>
    <n v="1053"/>
    <s v="1053_U3_Sto_HS_WW_Rx_SPARE_repX"/>
    <x v="1"/>
    <x v="0"/>
    <x v="0"/>
    <x v="1"/>
    <s v="JEx"/>
    <n v="2"/>
    <m/>
    <x v="5"/>
    <b v="0"/>
    <x v="196"/>
    <m/>
    <s v="test pour exudats"/>
  </r>
  <r>
    <n v="19"/>
    <n v="4"/>
    <s v="U3"/>
    <n v="1053"/>
    <s v="1053_U3_Sto_HS_WW_Rx_SPARE_repX"/>
    <x v="1"/>
    <x v="0"/>
    <x v="0"/>
    <x v="1"/>
    <s v="JEx"/>
    <n v="2"/>
    <m/>
    <x v="5"/>
    <b v="1"/>
    <x v="197"/>
    <m/>
    <s v="test pour exudats"/>
  </r>
  <r>
    <n v="20"/>
    <n v="4"/>
    <s v="U3"/>
    <n v="1055"/>
    <s v="1055_U3_Wen_HS_WW_Rx_SPARE_repX"/>
    <x v="1"/>
    <x v="0"/>
    <x v="1"/>
    <x v="0"/>
    <s v="EB"/>
    <n v="2"/>
    <m/>
    <x v="4"/>
    <b v="0"/>
    <x v="198"/>
    <m/>
    <m/>
  </r>
  <r>
    <n v="20"/>
    <n v="4"/>
    <s v="U3"/>
    <n v="1055"/>
    <s v="1055_U3_Wen_HS_WW_Rx_SPARE_repX"/>
    <x v="1"/>
    <x v="0"/>
    <x v="1"/>
    <x v="3"/>
    <s v="EB"/>
    <n v="2"/>
    <m/>
    <x v="4"/>
    <b v="1"/>
    <x v="199"/>
    <m/>
    <m/>
  </r>
  <r>
    <n v="21"/>
    <n v="4"/>
    <s v="U3"/>
    <n v="1057"/>
    <s v="1057_U3_Sto_HS_WS_Rx_SPARE_repX"/>
    <x v="1"/>
    <x v="1"/>
    <x v="0"/>
    <x v="1"/>
    <s v="JEx"/>
    <n v="2"/>
    <m/>
    <x v="1"/>
    <b v="0"/>
    <x v="200"/>
    <m/>
    <m/>
  </r>
  <r>
    <n v="21"/>
    <n v="4"/>
    <s v="U3"/>
    <n v="1057"/>
    <s v="1057_U3_Sto_HS_WS_Rx_SPARE_repX"/>
    <x v="1"/>
    <x v="1"/>
    <x v="0"/>
    <x v="2"/>
    <s v="JEx"/>
    <n v="2"/>
    <m/>
    <x v="1"/>
    <b v="1"/>
    <x v="201"/>
    <m/>
    <m/>
  </r>
  <r>
    <n v="22"/>
    <n v="4"/>
    <s v="U3"/>
    <n v="1059"/>
    <s v="1059_U3_Wen_HS_WS_Rx_SPARE_repX"/>
    <x v="1"/>
    <x v="1"/>
    <x v="1"/>
    <x v="1"/>
    <s v="EB"/>
    <n v="2"/>
    <m/>
    <x v="3"/>
    <b v="0"/>
    <x v="202"/>
    <m/>
    <m/>
  </r>
  <r>
    <n v="22"/>
    <n v="4"/>
    <s v="U3"/>
    <n v="1059"/>
    <s v="1059_U3_Wen_HS_WS_Rx_SPARE_repX"/>
    <x v="1"/>
    <x v="1"/>
    <x v="1"/>
    <x v="2"/>
    <s v="EB"/>
    <n v="2"/>
    <m/>
    <x v="3"/>
    <b v="1"/>
    <x v="203"/>
    <m/>
    <m/>
  </r>
  <r>
    <n v="1"/>
    <n v="3"/>
    <s v="U3"/>
    <n v="1061"/>
    <s v="1061_U3_Sto_HS_WS_R2_EB_rep4"/>
    <x v="1"/>
    <x v="1"/>
    <x v="0"/>
    <x v="0"/>
    <s v="EB"/>
    <n v="2"/>
    <n v="4"/>
    <x v="1"/>
    <b v="0"/>
    <x v="204"/>
    <m/>
    <m/>
  </r>
  <r>
    <n v="1"/>
    <n v="3"/>
    <s v="U3"/>
    <n v="1061"/>
    <s v="1061_U3_Sto_HS_WS_R2_EB_rep4"/>
    <x v="1"/>
    <x v="1"/>
    <x v="0"/>
    <x v="3"/>
    <s v="EB"/>
    <n v="2"/>
    <n v="4"/>
    <x v="1"/>
    <b v="1"/>
    <x v="205"/>
    <m/>
    <m/>
  </r>
  <r>
    <n v="2"/>
    <n v="3"/>
    <s v="U3"/>
    <n v="1063"/>
    <s v="1063_U3_Wen_HS_WW_R2_JEx_rep2"/>
    <x v="1"/>
    <x v="0"/>
    <x v="1"/>
    <x v="1"/>
    <s v="JEx"/>
    <n v="2"/>
    <n v="2"/>
    <x v="3"/>
    <b v="0"/>
    <x v="206"/>
    <m/>
    <m/>
  </r>
  <r>
    <n v="2"/>
    <n v="3"/>
    <s v="U3"/>
    <n v="1063"/>
    <s v="1063_U3_Wen_HS_WW_R2_JEx_rep2"/>
    <x v="1"/>
    <x v="0"/>
    <x v="1"/>
    <x v="2"/>
    <s v="JEx"/>
    <n v="2"/>
    <n v="2"/>
    <x v="3"/>
    <b v="1"/>
    <x v="207"/>
    <m/>
    <m/>
  </r>
  <r>
    <n v="3"/>
    <n v="3"/>
    <s v="U3"/>
    <n v="1065"/>
    <s v="1065_U3_Sto_HS_WW_R2_EB_rep4"/>
    <x v="1"/>
    <x v="0"/>
    <x v="0"/>
    <x v="0"/>
    <s v="EB"/>
    <n v="2"/>
    <n v="4"/>
    <x v="4"/>
    <b v="0"/>
    <x v="208"/>
    <m/>
    <m/>
  </r>
  <r>
    <n v="3"/>
    <n v="3"/>
    <s v="U3"/>
    <n v="1065"/>
    <s v="1065_U3_Sto_HS_WW_R2_EB_rep4"/>
    <x v="1"/>
    <x v="0"/>
    <x v="0"/>
    <x v="3"/>
    <s v="EB"/>
    <n v="2"/>
    <n v="4"/>
    <x v="4"/>
    <b v="1"/>
    <x v="209"/>
    <m/>
    <m/>
  </r>
  <r>
    <n v="4"/>
    <n v="3"/>
    <s v="U3"/>
    <n v="1067"/>
    <s v="1067_U3_Wen_HS_WW_R2_EB_rep4"/>
    <x v="1"/>
    <x v="0"/>
    <x v="1"/>
    <x v="3"/>
    <s v="EB"/>
    <n v="2"/>
    <n v="4"/>
    <x v="1"/>
    <b v="0"/>
    <x v="210"/>
    <s v="oui par 1055"/>
    <s v="remplacement BM"/>
  </r>
  <r>
    <n v="4"/>
    <n v="3"/>
    <s v="U3"/>
    <n v="1067"/>
    <s v="1067_U3_Wen_HS_WW_R2_EB_rep4"/>
    <x v="1"/>
    <x v="0"/>
    <x v="1"/>
    <x v="4"/>
    <s v="EB"/>
    <m/>
    <n v="4"/>
    <x v="2"/>
    <b v="1"/>
    <x v="211"/>
    <s v="oui par 1056"/>
    <s v="pas de plante"/>
  </r>
  <r>
    <n v="5"/>
    <n v="3"/>
    <s v="U3"/>
    <n v="1069"/>
    <s v="1069_U3_Sto_HS_WW_R2_JEx_rep2"/>
    <x v="1"/>
    <x v="0"/>
    <x v="0"/>
    <x v="1"/>
    <s v="JEx"/>
    <n v="2"/>
    <n v="2"/>
    <x v="3"/>
    <b v="0"/>
    <x v="212"/>
    <m/>
    <m/>
  </r>
  <r>
    <n v="5"/>
    <n v="3"/>
    <s v="U3"/>
    <n v="1069"/>
    <s v="1069_U3_Sto_HS_WW_R2_JEx_rep2"/>
    <x v="1"/>
    <x v="0"/>
    <x v="0"/>
    <x v="2"/>
    <s v="JEx"/>
    <n v="2"/>
    <n v="2"/>
    <x v="3"/>
    <b v="1"/>
    <x v="213"/>
    <m/>
    <m/>
  </r>
  <r>
    <n v="6"/>
    <n v="3"/>
    <s v="U3"/>
    <n v="1071"/>
    <s v="1071_U3_Wen_HS_WS_R2_EB_rep4"/>
    <x v="1"/>
    <x v="1"/>
    <x v="1"/>
    <x v="0"/>
    <s v="EB"/>
    <n v="2"/>
    <n v="4"/>
    <x v="4"/>
    <b v="0"/>
    <x v="214"/>
    <m/>
    <m/>
  </r>
  <r>
    <n v="6"/>
    <n v="3"/>
    <s v="U3"/>
    <n v="1071"/>
    <s v="1071_U3_Wen_HS_WS_R2_EB_rep4"/>
    <x v="1"/>
    <x v="1"/>
    <x v="1"/>
    <x v="3"/>
    <s v="EB"/>
    <n v="2"/>
    <n v="4"/>
    <x v="4"/>
    <b v="1"/>
    <x v="215"/>
    <m/>
    <m/>
  </r>
  <r>
    <n v="7"/>
    <n v="3"/>
    <s v="U3"/>
    <n v="1073"/>
    <s v="1073_U3_Sto_HS_WS_R2_JEx_rep2"/>
    <x v="1"/>
    <x v="1"/>
    <x v="0"/>
    <x v="1"/>
    <s v="JEx"/>
    <n v="2"/>
    <n v="2"/>
    <x v="3"/>
    <b v="0"/>
    <x v="216"/>
    <m/>
    <m/>
  </r>
  <r>
    <n v="7"/>
    <n v="3"/>
    <s v="U3"/>
    <n v="1073"/>
    <s v="1073_U3_Sto_HS_WS_R2_JEx_rep2"/>
    <x v="1"/>
    <x v="1"/>
    <x v="0"/>
    <x v="2"/>
    <s v="JEx"/>
    <n v="2"/>
    <n v="2"/>
    <x v="3"/>
    <b v="1"/>
    <x v="217"/>
    <m/>
    <m/>
  </r>
  <r>
    <n v="8"/>
    <n v="3"/>
    <s v="U3"/>
    <n v="1075"/>
    <s v="1075_U3_Sto_HS_WS_R2_EB_rep5"/>
    <x v="1"/>
    <x v="1"/>
    <x v="0"/>
    <x v="0"/>
    <s v="EB"/>
    <n v="2"/>
    <n v="5"/>
    <x v="4"/>
    <b v="0"/>
    <x v="218"/>
    <m/>
    <m/>
  </r>
  <r>
    <n v="8"/>
    <n v="3"/>
    <s v="U3"/>
    <n v="1075"/>
    <s v="1075_U3_Sto_HS_WS_R2_EB_rep5"/>
    <x v="1"/>
    <x v="1"/>
    <x v="0"/>
    <x v="3"/>
    <s v="EB"/>
    <n v="2"/>
    <n v="5"/>
    <x v="4"/>
    <b v="1"/>
    <x v="219"/>
    <m/>
    <s v="tige pincée pendant 10 min"/>
  </r>
  <r>
    <n v="9"/>
    <n v="3"/>
    <s v="U3"/>
    <n v="1077"/>
    <s v="1077_U3_Wen_HS_WS_R2_JEx_rep2"/>
    <x v="1"/>
    <x v="1"/>
    <x v="1"/>
    <x v="1"/>
    <s v="JEx"/>
    <m/>
    <n v="2"/>
    <x v="2"/>
    <b v="0"/>
    <x v="220"/>
    <s v="oui par 1059"/>
    <s v="mauvaise reprise"/>
  </r>
  <r>
    <n v="9"/>
    <n v="3"/>
    <s v="U3"/>
    <n v="1077"/>
    <s v="1077_U3_Wen_HS_WS_R2_JEx_rep2"/>
    <x v="1"/>
    <x v="1"/>
    <x v="1"/>
    <x v="3"/>
    <m/>
    <n v="2"/>
    <n v="2"/>
    <x v="1"/>
    <b v="1"/>
    <x v="221"/>
    <s v="oui par 1060"/>
    <s v="remplacement BM"/>
  </r>
  <r>
    <n v="10"/>
    <n v="3"/>
    <s v="U3"/>
    <n v="1079"/>
    <s v="1079_U3_Sto_HS_WW_R2_EB_rep5"/>
    <x v="1"/>
    <x v="0"/>
    <x v="0"/>
    <x v="0"/>
    <s v="EB"/>
    <n v="2"/>
    <n v="5"/>
    <x v="4"/>
    <b v="0"/>
    <x v="222"/>
    <m/>
    <m/>
  </r>
  <r>
    <n v="10"/>
    <n v="3"/>
    <s v="U3"/>
    <n v="1079"/>
    <s v="1079_U3_Sto_HS_WW_R2_EB_rep5"/>
    <x v="1"/>
    <x v="0"/>
    <x v="0"/>
    <x v="3"/>
    <s v="EB"/>
    <n v="2"/>
    <n v="5"/>
    <x v="4"/>
    <b v="1"/>
    <x v="223"/>
    <m/>
    <m/>
  </r>
  <r>
    <n v="11"/>
    <n v="3"/>
    <s v="U3"/>
    <n v="1081"/>
    <s v="1081_U3_Sto_HS_WS_R2_JEx_rep3"/>
    <x v="1"/>
    <x v="1"/>
    <x v="0"/>
    <x v="1"/>
    <s v="JEx"/>
    <n v="2"/>
    <n v="3"/>
    <x v="4"/>
    <b v="0"/>
    <x v="224"/>
    <m/>
    <s v="pot en partie renverser pour l'exsudation"/>
  </r>
  <r>
    <n v="11"/>
    <n v="3"/>
    <s v="U3"/>
    <n v="1081"/>
    <s v="1081_U3_Sto_HS_WS_R2_JEx_rep3"/>
    <x v="1"/>
    <x v="1"/>
    <x v="0"/>
    <x v="4"/>
    <m/>
    <m/>
    <n v="3"/>
    <x v="4"/>
    <b v="1"/>
    <x v="225"/>
    <m/>
    <s v="pas d'échantillon. Plante morte"/>
  </r>
  <r>
    <n v="12"/>
    <n v="3"/>
    <s v="U3"/>
    <n v="1083"/>
    <s v="1083_U3_Wen_HS_WW_R2_EB_rep5"/>
    <x v="1"/>
    <x v="0"/>
    <x v="1"/>
    <x v="0"/>
    <s v="EB"/>
    <n v="2"/>
    <n v="5"/>
    <x v="4"/>
    <b v="0"/>
    <x v="226"/>
    <m/>
    <m/>
  </r>
  <r>
    <n v="12"/>
    <n v="3"/>
    <s v="U3"/>
    <n v="1083"/>
    <s v="1083_U3_Wen_HS_WW_R2_EB_rep5"/>
    <x v="1"/>
    <x v="0"/>
    <x v="1"/>
    <x v="3"/>
    <s v="EB"/>
    <n v="2"/>
    <n v="5"/>
    <x v="4"/>
    <b v="1"/>
    <x v="227"/>
    <m/>
    <m/>
  </r>
  <r>
    <n v="13"/>
    <n v="3"/>
    <s v="U3"/>
    <n v="1085"/>
    <s v="1085_U3_Sto_HS_WW_R2_JEx_rep3"/>
    <x v="1"/>
    <x v="0"/>
    <x v="0"/>
    <x v="1"/>
    <s v="JEx"/>
    <n v="2"/>
    <n v="3"/>
    <x v="4"/>
    <b v="0"/>
    <x v="228"/>
    <m/>
    <m/>
  </r>
  <r>
    <n v="13"/>
    <n v="3"/>
    <s v="U3"/>
    <n v="1085"/>
    <s v="1085_U3_Sto_HS_WW_R2_JEx_rep3"/>
    <x v="1"/>
    <x v="0"/>
    <x v="0"/>
    <x v="2"/>
    <s v="JEx"/>
    <n v="2"/>
    <n v="3"/>
    <x v="4"/>
    <b v="1"/>
    <x v="229"/>
    <m/>
    <m/>
  </r>
  <r>
    <n v="14"/>
    <n v="3"/>
    <s v="U3"/>
    <n v="1087"/>
    <s v="1087_U3_Wen_HS_WS_R2_EB_rep5"/>
    <x v="1"/>
    <x v="1"/>
    <x v="1"/>
    <x v="0"/>
    <s v="EB"/>
    <n v="2"/>
    <n v="5"/>
    <x v="4"/>
    <b v="0"/>
    <x v="230"/>
    <m/>
    <m/>
  </r>
  <r>
    <n v="14"/>
    <n v="3"/>
    <s v="U3"/>
    <n v="1087"/>
    <s v="1087_U3_Wen_HS_WS_R2_EB_rep5"/>
    <x v="1"/>
    <x v="1"/>
    <x v="1"/>
    <x v="3"/>
    <s v="EB"/>
    <n v="2"/>
    <n v="5"/>
    <x v="4"/>
    <b v="1"/>
    <x v="231"/>
    <m/>
    <s v="une feuille est tomber lors de la mise sur chario "/>
  </r>
  <r>
    <n v="15"/>
    <n v="3"/>
    <s v="U3"/>
    <n v="1089"/>
    <s v="1089_U3_Wen_HS_WW_R2_JEx_rep3"/>
    <x v="1"/>
    <x v="0"/>
    <x v="1"/>
    <x v="1"/>
    <s v="JEx"/>
    <n v="2"/>
    <n v="3"/>
    <x v="4"/>
    <b v="0"/>
    <x v="232"/>
    <m/>
    <m/>
  </r>
  <r>
    <n v="15"/>
    <n v="3"/>
    <s v="U3"/>
    <n v="1089"/>
    <s v="1089_U3_Wen_HS_WW_R2_JEx_rep3"/>
    <x v="1"/>
    <x v="0"/>
    <x v="1"/>
    <x v="2"/>
    <s v="JEx"/>
    <n v="2"/>
    <n v="3"/>
    <x v="4"/>
    <b v="1"/>
    <x v="233"/>
    <m/>
    <m/>
  </r>
  <r>
    <n v="16"/>
    <n v="3"/>
    <s v="U3"/>
    <n v="1091"/>
    <s v="1091_U3_Sto_HS_WS_R2_EB_rep6"/>
    <x v="1"/>
    <x v="1"/>
    <x v="0"/>
    <x v="0"/>
    <s v="EB"/>
    <n v="2"/>
    <n v="6"/>
    <x v="4"/>
    <b v="0"/>
    <x v="234"/>
    <m/>
    <m/>
  </r>
  <r>
    <n v="16"/>
    <n v="3"/>
    <s v="U3"/>
    <n v="1091"/>
    <s v="1091_U3_Sto_HS_WS_R2_EB_rep6"/>
    <x v="1"/>
    <x v="1"/>
    <x v="0"/>
    <x v="3"/>
    <s v="EB"/>
    <n v="2"/>
    <n v="6"/>
    <x v="4"/>
    <b v="1"/>
    <x v="235"/>
    <m/>
    <m/>
  </r>
  <r>
    <n v="17"/>
    <n v="3"/>
    <s v="U3"/>
    <n v="1093"/>
    <s v="1093_U3_Sto_HS_WW_R2_EB_rep6"/>
    <x v="1"/>
    <x v="0"/>
    <x v="0"/>
    <x v="0"/>
    <s v="EB"/>
    <n v="2"/>
    <n v="6"/>
    <x v="4"/>
    <b v="0"/>
    <x v="236"/>
    <m/>
    <m/>
  </r>
  <r>
    <n v="17"/>
    <n v="3"/>
    <s v="U3"/>
    <n v="1093"/>
    <s v="1093_U3_Sto_HS_WW_R2_EB_rep6"/>
    <x v="1"/>
    <x v="0"/>
    <x v="0"/>
    <x v="3"/>
    <s v="EB"/>
    <n v="2"/>
    <n v="6"/>
    <x v="4"/>
    <b v="1"/>
    <x v="237"/>
    <m/>
    <m/>
  </r>
  <r>
    <n v="18"/>
    <n v="3"/>
    <s v="U3"/>
    <n v="1095"/>
    <s v="1095_U3_Wen_HS_WS_R2_JEx_rep3"/>
    <x v="1"/>
    <x v="1"/>
    <x v="1"/>
    <x v="1"/>
    <s v="JEx"/>
    <n v="2"/>
    <n v="3"/>
    <x v="4"/>
    <b v="0"/>
    <x v="238"/>
    <m/>
    <m/>
  </r>
  <r>
    <n v="18"/>
    <n v="3"/>
    <s v="U3"/>
    <n v="1095"/>
    <s v="1095_U3_Wen_HS_WS_R2_JEx_rep3"/>
    <x v="1"/>
    <x v="1"/>
    <x v="1"/>
    <x v="2"/>
    <s v="JEx"/>
    <n v="2"/>
    <n v="3"/>
    <x v="4"/>
    <b v="1"/>
    <x v="239"/>
    <m/>
    <m/>
  </r>
  <r>
    <n v="19"/>
    <n v="3"/>
    <s v="U3"/>
    <n v="1097"/>
    <s v="1097_U3_Wen_HS_WW_R2_EB_rep6"/>
    <x v="1"/>
    <x v="0"/>
    <x v="1"/>
    <x v="0"/>
    <s v="EB"/>
    <n v="2"/>
    <n v="6"/>
    <x v="1"/>
    <b v="0"/>
    <x v="240"/>
    <m/>
    <m/>
  </r>
  <r>
    <n v="19"/>
    <n v="3"/>
    <s v="U3"/>
    <n v="1097"/>
    <s v="1097_U3_Wen_HS_WW_R2_EB_rep6"/>
    <x v="1"/>
    <x v="0"/>
    <x v="1"/>
    <x v="3"/>
    <s v="EB"/>
    <n v="2"/>
    <n v="6"/>
    <x v="1"/>
    <b v="1"/>
    <x v="241"/>
    <m/>
    <m/>
  </r>
  <r>
    <n v="20"/>
    <n v="3"/>
    <s v="U3"/>
    <n v="1099"/>
    <s v="1099_U3_Wen_HS_WS_R2_EB_rep6"/>
    <x v="1"/>
    <x v="1"/>
    <x v="1"/>
    <x v="0"/>
    <s v="EB"/>
    <n v="2"/>
    <n v="6"/>
    <x v="4"/>
    <b v="0"/>
    <x v="242"/>
    <m/>
    <m/>
  </r>
  <r>
    <n v="20"/>
    <n v="3"/>
    <s v="U3"/>
    <n v="1099"/>
    <s v="1099_U3_Wen_HS_WS_R2_EB_rep6"/>
    <x v="1"/>
    <x v="1"/>
    <x v="1"/>
    <x v="3"/>
    <s v="EB"/>
    <n v="2"/>
    <n v="6"/>
    <x v="4"/>
    <b v="1"/>
    <x v="243"/>
    <m/>
    <s v="pas de microbio bulk"/>
  </r>
  <r>
    <n v="21"/>
    <n v="3"/>
    <s v="U3"/>
    <n v="1101"/>
    <s v="1101_U3_Sto_HS_WW_Rx_SPARE_repX"/>
    <x v="1"/>
    <x v="0"/>
    <x v="0"/>
    <x v="1"/>
    <s v="JEx"/>
    <n v="2"/>
    <m/>
    <x v="4"/>
    <b v="0"/>
    <x v="244"/>
    <m/>
    <m/>
  </r>
  <r>
    <n v="21"/>
    <n v="3"/>
    <s v="U3"/>
    <n v="1101"/>
    <s v="1101_U3_Sto_HS_WW_Rx_SPARE_repX"/>
    <x v="1"/>
    <x v="0"/>
    <x v="0"/>
    <x v="2"/>
    <s v="JEx"/>
    <n v="2"/>
    <m/>
    <x v="4"/>
    <b v="1"/>
    <x v="245"/>
    <m/>
    <m/>
  </r>
  <r>
    <n v="1"/>
    <n v="2"/>
    <s v="U3"/>
    <n v="1103"/>
    <s v="1103_U3_Wen_HS_WS_R2_EB_rep7"/>
    <x v="1"/>
    <x v="1"/>
    <x v="1"/>
    <x v="0"/>
    <s v="EB"/>
    <n v="2"/>
    <n v="7"/>
    <x v="1"/>
    <b v="0"/>
    <x v="246"/>
    <m/>
    <m/>
  </r>
  <r>
    <n v="1"/>
    <n v="2"/>
    <s v="U3"/>
    <n v="1103"/>
    <s v="1103_U3_Wen_HS_WS_R2_EB_rep7"/>
    <x v="1"/>
    <x v="1"/>
    <x v="1"/>
    <x v="3"/>
    <s v="EB"/>
    <n v="2"/>
    <n v="7"/>
    <x v="1"/>
    <b v="1"/>
    <x v="247"/>
    <m/>
    <m/>
  </r>
  <r>
    <n v="2"/>
    <n v="2"/>
    <s v="U3"/>
    <n v="1105"/>
    <s v="1105_U3_Sto_HS_WS_R2_EB_rep7"/>
    <x v="1"/>
    <x v="1"/>
    <x v="0"/>
    <x v="0"/>
    <s v="EB"/>
    <n v="2"/>
    <n v="7"/>
    <x v="1"/>
    <b v="0"/>
    <x v="248"/>
    <m/>
    <m/>
  </r>
  <r>
    <n v="2"/>
    <n v="2"/>
    <s v="U3"/>
    <n v="1105"/>
    <s v="1105_U3_Sto_HS_WS_R2_EB_rep7"/>
    <x v="1"/>
    <x v="1"/>
    <x v="0"/>
    <x v="3"/>
    <s v="EB"/>
    <n v="2"/>
    <n v="7"/>
    <x v="1"/>
    <b v="1"/>
    <x v="249"/>
    <m/>
    <m/>
  </r>
  <r>
    <n v="3"/>
    <n v="2"/>
    <s v="U3"/>
    <n v="1107"/>
    <s v="1107_U3_Sto_HS_WS_R2_JEx_rep4"/>
    <x v="1"/>
    <x v="1"/>
    <x v="0"/>
    <x v="2"/>
    <s v="JEx"/>
    <n v="2"/>
    <n v="4"/>
    <x v="1"/>
    <b v="0"/>
    <x v="250"/>
    <s v="oui par 1057"/>
    <s v="au final les deux en javel"/>
  </r>
  <r>
    <n v="3"/>
    <n v="2"/>
    <s v="U3"/>
    <n v="1107"/>
    <s v="1107_U3_Sto_HS_WS_R2_JEx_rep4"/>
    <x v="1"/>
    <x v="1"/>
    <x v="0"/>
    <x v="2"/>
    <s v="JEx"/>
    <n v="2"/>
    <n v="4"/>
    <x v="1"/>
    <b v="1"/>
    <x v="251"/>
    <s v="oui par 1058"/>
    <s v="au final les deux en javel, attention probleme apex "/>
  </r>
  <r>
    <n v="4"/>
    <n v="2"/>
    <s v="U3"/>
    <n v="1109"/>
    <s v="1109_U3_Sto_HS_WW_R2_EB_rep7"/>
    <x v="1"/>
    <x v="0"/>
    <x v="0"/>
    <x v="0"/>
    <s v="EB"/>
    <n v="2"/>
    <n v="7"/>
    <x v="1"/>
    <b v="0"/>
    <x v="252"/>
    <m/>
    <m/>
  </r>
  <r>
    <n v="4"/>
    <n v="2"/>
    <s v="U3"/>
    <n v="1109"/>
    <s v="1109_U3_Sto_HS_WW_R2_EB_rep7"/>
    <x v="1"/>
    <x v="0"/>
    <x v="0"/>
    <x v="3"/>
    <s v="EB"/>
    <n v="2"/>
    <n v="7"/>
    <x v="1"/>
    <b v="1"/>
    <x v="253"/>
    <m/>
    <m/>
  </r>
  <r>
    <n v="5"/>
    <n v="2"/>
    <s v="U3"/>
    <n v="1111"/>
    <s v="1111_U3_Wen_HS_WW_R2_EB_rep7"/>
    <x v="1"/>
    <x v="0"/>
    <x v="1"/>
    <x v="0"/>
    <s v="EB"/>
    <n v="2"/>
    <n v="7"/>
    <x v="1"/>
    <b v="0"/>
    <x v="254"/>
    <m/>
    <m/>
  </r>
  <r>
    <n v="5"/>
    <n v="2"/>
    <s v="U3"/>
    <n v="1111"/>
    <s v="1111_U3_Wen_HS_WW_R2_EB_rep7"/>
    <x v="1"/>
    <x v="0"/>
    <x v="1"/>
    <x v="3"/>
    <s v="EB"/>
    <n v="2"/>
    <n v="7"/>
    <x v="1"/>
    <b v="1"/>
    <x v="255"/>
    <m/>
    <m/>
  </r>
  <r>
    <n v="6"/>
    <n v="2"/>
    <s v="U3"/>
    <n v="1113"/>
    <s v="1113_U3_Wen_HS_WS_R2_JEx_rep4"/>
    <x v="1"/>
    <x v="1"/>
    <x v="1"/>
    <x v="1"/>
    <s v="JEx"/>
    <n v="2"/>
    <n v="4"/>
    <x v="4"/>
    <b v="0"/>
    <x v="256"/>
    <m/>
    <m/>
  </r>
  <r>
    <n v="6"/>
    <n v="2"/>
    <s v="U3"/>
    <n v="1113"/>
    <s v="1113_U3_Wen_HS_WS_R2_JEx_rep4"/>
    <x v="1"/>
    <x v="1"/>
    <x v="1"/>
    <x v="2"/>
    <s v="JEx"/>
    <n v="2"/>
    <n v="4"/>
    <x v="4"/>
    <b v="1"/>
    <x v="257"/>
    <m/>
    <m/>
  </r>
  <r>
    <n v="7"/>
    <n v="2"/>
    <s v="U3"/>
    <n v="1115"/>
    <s v="1115_U3_Wen_HS_WS_R2_EB_rep8"/>
    <x v="1"/>
    <x v="1"/>
    <x v="1"/>
    <x v="0"/>
    <s v="EB"/>
    <n v="2"/>
    <n v="8"/>
    <x v="1"/>
    <b v="0"/>
    <x v="258"/>
    <m/>
    <m/>
  </r>
  <r>
    <n v="7"/>
    <n v="2"/>
    <s v="U3"/>
    <n v="1115"/>
    <s v="1115_U3_Wen_HS_WS_R2_EB_rep8"/>
    <x v="1"/>
    <x v="1"/>
    <x v="1"/>
    <x v="4"/>
    <m/>
    <m/>
    <m/>
    <x v="2"/>
    <b v="1"/>
    <x v="259"/>
    <m/>
    <s v="hors type, je ne sais pas si elle à été pris"/>
  </r>
  <r>
    <n v="8"/>
    <n v="2"/>
    <s v="U3"/>
    <n v="1117"/>
    <s v="1117_U3_Wen_HS_WW_R2_JEx_rep4"/>
    <x v="1"/>
    <x v="0"/>
    <x v="1"/>
    <x v="1"/>
    <s v="JEx"/>
    <n v="2"/>
    <n v="4"/>
    <x v="4"/>
    <b v="0"/>
    <x v="260"/>
    <m/>
    <m/>
  </r>
  <r>
    <n v="8"/>
    <n v="2"/>
    <s v="U3"/>
    <n v="1117"/>
    <s v="1117_U3_Wen_HS_WW_R2_JEx_rep4"/>
    <x v="1"/>
    <x v="0"/>
    <x v="1"/>
    <x v="2"/>
    <s v="JEx"/>
    <n v="2"/>
    <n v="4"/>
    <x v="4"/>
    <b v="1"/>
    <x v="261"/>
    <m/>
    <s v="une partie des latéral pas pris car à traverser membrane"/>
  </r>
  <r>
    <n v="9"/>
    <n v="2"/>
    <s v="U3"/>
    <n v="1119"/>
    <s v="1119_U3_Sto_HS_WS_R2_EB_rep8"/>
    <x v="1"/>
    <x v="1"/>
    <x v="0"/>
    <x v="0"/>
    <s v="EB"/>
    <n v="2"/>
    <n v="8"/>
    <x v="1"/>
    <b v="0"/>
    <x v="262"/>
    <m/>
    <m/>
  </r>
  <r>
    <n v="9"/>
    <n v="2"/>
    <s v="U3"/>
    <n v="1119"/>
    <s v="1119_U3_Sto_HS_WS_R2_EB_rep8"/>
    <x v="1"/>
    <x v="1"/>
    <x v="0"/>
    <x v="3"/>
    <s v="EB"/>
    <n v="2"/>
    <n v="8"/>
    <x v="1"/>
    <b v="1"/>
    <x v="263"/>
    <m/>
    <m/>
  </r>
  <r>
    <n v="10"/>
    <n v="2"/>
    <s v="U3"/>
    <n v="1121"/>
    <s v="1121_U3_Sto_HS_WW_R2_JEx_rep4"/>
    <x v="1"/>
    <x v="0"/>
    <x v="0"/>
    <x v="3"/>
    <s v="JEx"/>
    <m/>
    <n v="4"/>
    <x v="1"/>
    <b v="0"/>
    <x v="264"/>
    <s v="oui par 1101"/>
    <s v="remplacement BM"/>
  </r>
  <r>
    <n v="10"/>
    <n v="2"/>
    <s v="U3"/>
    <n v="1121"/>
    <s v="1121_U3_Sto_HS_WW_R2_JEx_rep4"/>
    <x v="1"/>
    <x v="0"/>
    <x v="0"/>
    <x v="2"/>
    <s v="JEx"/>
    <m/>
    <n v="4"/>
    <x v="2"/>
    <b v="1"/>
    <x v="265"/>
    <s v="oui par 1102"/>
    <s v="pb apex "/>
  </r>
  <r>
    <n v="11"/>
    <n v="2"/>
    <s v="U3"/>
    <n v="1123"/>
    <s v="1123_U3_Wen_HS_WS_R2_JEx_rep5"/>
    <x v="1"/>
    <x v="1"/>
    <x v="1"/>
    <x v="1"/>
    <s v="JEx"/>
    <n v="2"/>
    <n v="5"/>
    <x v="4"/>
    <b v="0"/>
    <x v="266"/>
    <m/>
    <m/>
  </r>
  <r>
    <n v="11"/>
    <n v="2"/>
    <s v="U3"/>
    <n v="1123"/>
    <s v="1123_U3_Wen_HS_WS_R2_JEx_rep5"/>
    <x v="1"/>
    <x v="1"/>
    <x v="1"/>
    <x v="2"/>
    <s v="JEx"/>
    <n v="2"/>
    <n v="5"/>
    <x v="4"/>
    <b v="1"/>
    <x v="267"/>
    <m/>
    <s v="feuille trifolié abimé mais analyse réalisé"/>
  </r>
  <r>
    <n v="12"/>
    <n v="2"/>
    <s v="U3"/>
    <n v="1125"/>
    <s v="1125_U3_Wen_HS_WW_R2_JEx_rep5"/>
    <x v="1"/>
    <x v="0"/>
    <x v="1"/>
    <x v="1"/>
    <s v="JEx"/>
    <n v="2"/>
    <n v="5"/>
    <x v="1"/>
    <b v="0"/>
    <x v="268"/>
    <m/>
    <m/>
  </r>
  <r>
    <n v="12"/>
    <n v="2"/>
    <s v="U3"/>
    <n v="1125"/>
    <s v="1125_U3_Wen_HS_WW_R2_JEx_rep5"/>
    <x v="1"/>
    <x v="0"/>
    <x v="1"/>
    <x v="2"/>
    <s v="JEx"/>
    <n v="2"/>
    <n v="5"/>
    <x v="1"/>
    <b v="1"/>
    <x v="269"/>
    <m/>
    <m/>
  </r>
  <r>
    <n v="13"/>
    <n v="2"/>
    <s v="U3"/>
    <n v="1127"/>
    <s v="1127_U3_Sto_HS_WW_R2_EB_rep8"/>
    <x v="1"/>
    <x v="0"/>
    <x v="0"/>
    <x v="0"/>
    <s v="EB"/>
    <n v="2"/>
    <n v="8"/>
    <x v="1"/>
    <b v="0"/>
    <x v="270"/>
    <m/>
    <m/>
  </r>
  <r>
    <n v="13"/>
    <n v="2"/>
    <s v="U3"/>
    <n v="1127"/>
    <s v="1127_U3_Sto_HS_WW_R2_EB_rep8"/>
    <x v="1"/>
    <x v="0"/>
    <x v="0"/>
    <x v="3"/>
    <s v="EB"/>
    <n v="2"/>
    <n v="8"/>
    <x v="1"/>
    <b v="1"/>
    <x v="271"/>
    <m/>
    <m/>
  </r>
  <r>
    <n v="14"/>
    <n v="2"/>
    <s v="U3"/>
    <n v="1129"/>
    <s v="1129_U3_Sto_HS_WS_R2_JEx_rep5"/>
    <x v="1"/>
    <x v="1"/>
    <x v="0"/>
    <x v="1"/>
    <s v="JEx"/>
    <n v="2"/>
    <n v="5"/>
    <x v="1"/>
    <b v="0"/>
    <x v="272"/>
    <m/>
    <m/>
  </r>
  <r>
    <n v="14"/>
    <n v="2"/>
    <s v="U3"/>
    <n v="1129"/>
    <s v="1129_U3_Sto_HS_WS_R2_JEx_rep5"/>
    <x v="1"/>
    <x v="1"/>
    <x v="0"/>
    <x v="2"/>
    <s v="JEx"/>
    <n v="2"/>
    <n v="5"/>
    <x v="1"/>
    <b v="1"/>
    <x v="273"/>
    <m/>
    <m/>
  </r>
  <r>
    <n v="15"/>
    <n v="2"/>
    <s v="U3"/>
    <n v="1131"/>
    <s v="1131_U3_Wen_HS_WW_R2_EB_rep8"/>
    <x v="1"/>
    <x v="0"/>
    <x v="1"/>
    <x v="0"/>
    <s v="EB"/>
    <n v="2"/>
    <n v="8"/>
    <x v="1"/>
    <b v="0"/>
    <x v="274"/>
    <m/>
    <m/>
  </r>
  <r>
    <n v="15"/>
    <n v="2"/>
    <s v="U3"/>
    <n v="1131"/>
    <s v="1131_U3_Wen_HS_WW_R2_EB_rep8"/>
    <x v="1"/>
    <x v="0"/>
    <x v="1"/>
    <x v="3"/>
    <s v="EB"/>
    <n v="2"/>
    <n v="8"/>
    <x v="1"/>
    <b v="1"/>
    <x v="275"/>
    <m/>
    <m/>
  </r>
  <r>
    <n v="16"/>
    <n v="2"/>
    <s v="U3"/>
    <n v="1133"/>
    <s v="1133_U3_Sto_HS_WW_R2_JEx_rep5"/>
    <x v="1"/>
    <x v="0"/>
    <x v="0"/>
    <x v="1"/>
    <s v="JEx"/>
    <n v="2"/>
    <n v="5"/>
    <x v="1"/>
    <b v="0"/>
    <x v="276"/>
    <m/>
    <m/>
  </r>
  <r>
    <n v="16"/>
    <n v="2"/>
    <s v="U3"/>
    <n v="1133"/>
    <s v="1133_U3_Sto_HS_WW_R2_JEx_rep5"/>
    <x v="1"/>
    <x v="0"/>
    <x v="0"/>
    <x v="2"/>
    <s v="JEx"/>
    <n v="2"/>
    <n v="5"/>
    <x v="1"/>
    <b v="1"/>
    <x v="277"/>
    <m/>
    <m/>
  </r>
  <r>
    <n v="17"/>
    <n v="2"/>
    <s v="U3"/>
    <n v="1135"/>
    <s v="1135_U3_Sto_OT_WW_R1_EB_rep3"/>
    <x v="0"/>
    <x v="0"/>
    <x v="0"/>
    <x v="0"/>
    <s v="EB"/>
    <n v="1"/>
    <n v="3"/>
    <x v="0"/>
    <b v="0"/>
    <x v="278"/>
    <m/>
    <m/>
  </r>
  <r>
    <n v="17"/>
    <n v="2"/>
    <s v="U3"/>
    <n v="1135"/>
    <s v="1135_U3_Sto_OT_WW_R1_EB_rep3"/>
    <x v="0"/>
    <x v="0"/>
    <x v="0"/>
    <x v="0"/>
    <s v="EB"/>
    <n v="1"/>
    <n v="3"/>
    <x v="0"/>
    <b v="1"/>
    <x v="279"/>
    <m/>
    <m/>
  </r>
  <r>
    <n v="18"/>
    <n v="2"/>
    <s v="U3"/>
    <n v="1137"/>
    <s v="1137_U3_Wen_OT_WW_R1_JEx_rep3"/>
    <x v="1"/>
    <x v="0"/>
    <x v="1"/>
    <x v="3"/>
    <m/>
    <n v="2"/>
    <n v="3"/>
    <x v="1"/>
    <b v="0"/>
    <x v="280"/>
    <m/>
    <s v="attention les 5 tubes sont inversé avec la 1139"/>
  </r>
  <r>
    <n v="18"/>
    <n v="2"/>
    <s v="U3"/>
    <n v="1137"/>
    <s v="1137_U3_Wen_OT_WW_R1_JEx_rep3"/>
    <x v="1"/>
    <x v="0"/>
    <x v="1"/>
    <x v="4"/>
    <m/>
    <n v="2"/>
    <n v="3"/>
    <x v="2"/>
    <b v="1"/>
    <x v="281"/>
    <m/>
    <m/>
  </r>
  <r>
    <n v="19"/>
    <n v="2"/>
    <s v="U3"/>
    <n v="1139"/>
    <s v="1139_U3_Sto_OT_WW_R1_JEx_rep3"/>
    <x v="1"/>
    <x v="0"/>
    <x v="0"/>
    <x v="4"/>
    <s v="JEx"/>
    <m/>
    <n v="3"/>
    <x v="2"/>
    <b v="0"/>
    <x v="282"/>
    <m/>
    <s v="pas de prélevement car feuille flétrie lors de la manip"/>
  </r>
  <r>
    <n v="19"/>
    <n v="2"/>
    <s v="U3"/>
    <n v="1139"/>
    <s v="1139_U3_Sto_OT_WW_R1_JEx_rep3"/>
    <x v="1"/>
    <x v="0"/>
    <x v="0"/>
    <x v="4"/>
    <s v="JEx"/>
    <m/>
    <n v="3"/>
    <x v="2"/>
    <b v="1"/>
    <x v="283"/>
    <m/>
    <s v="pas de prélevement car feuille flétrie lors de la manip"/>
  </r>
  <r>
    <n v="20"/>
    <n v="2"/>
    <s v="U3"/>
    <n v="1141"/>
    <s v="1141_U3_Wen_OT_WW_R1_EB_rep3"/>
    <x v="0"/>
    <x v="0"/>
    <x v="1"/>
    <x v="0"/>
    <s v="EB"/>
    <n v="1"/>
    <n v="3"/>
    <x v="0"/>
    <b v="0"/>
    <x v="284"/>
    <m/>
    <m/>
  </r>
  <r>
    <n v="20"/>
    <n v="2"/>
    <s v="U3"/>
    <n v="1141"/>
    <s v="1141_U3_Wen_OT_WW_R1_EB_rep3"/>
    <x v="0"/>
    <x v="0"/>
    <x v="1"/>
    <x v="0"/>
    <s v="EB"/>
    <n v="1"/>
    <n v="3"/>
    <x v="0"/>
    <b v="1"/>
    <x v="285"/>
    <m/>
    <m/>
  </r>
  <r>
    <n v="21"/>
    <n v="2"/>
    <s v="U3"/>
    <n v="1143"/>
    <s v="1143_U3_Wen_HS_WW_Rx_SPARE_repX"/>
    <x v="1"/>
    <x v="0"/>
    <x v="1"/>
    <x v="1"/>
    <s v="EB"/>
    <n v="2"/>
    <m/>
    <x v="3"/>
    <b v="0"/>
    <x v="286"/>
    <m/>
    <m/>
  </r>
  <r>
    <n v="21"/>
    <n v="2"/>
    <s v="U3"/>
    <n v="1143"/>
    <s v="1143_U3_Wen_HS_WW_Rx_SPARE_repX"/>
    <x v="1"/>
    <x v="0"/>
    <x v="1"/>
    <x v="2"/>
    <s v="EB"/>
    <n v="2"/>
    <m/>
    <x v="3"/>
    <b v="1"/>
    <x v="28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s v="Jav"/>
    <s v="JEx"/>
    <n v="2"/>
    <n v="1"/>
    <d v="2021-10-14T00:00:00"/>
    <b v="1"/>
    <n v="4"/>
    <m/>
    <m/>
    <m/>
    <m/>
  </r>
  <r>
    <x v="0"/>
    <x v="0"/>
    <x v="1"/>
    <s v="Jav"/>
    <s v="JEx"/>
    <m/>
    <n v="2"/>
    <m/>
    <b v="1"/>
    <n v="10"/>
    <m/>
    <m/>
    <m/>
    <m/>
  </r>
  <r>
    <x v="0"/>
    <x v="1"/>
    <x v="0"/>
    <s v="Jav"/>
    <s v="JEx"/>
    <n v="2"/>
    <n v="1"/>
    <d v="2021-10-12T00:00:00"/>
    <b v="1"/>
    <n v="22"/>
    <m/>
    <n v="1"/>
    <n v="0"/>
    <m/>
  </r>
  <r>
    <x v="0"/>
    <x v="0"/>
    <x v="1"/>
    <s v="Jav"/>
    <s v="JEx"/>
    <n v="2"/>
    <n v="1"/>
    <d v="2021-10-12T00:00:00"/>
    <b v="1"/>
    <n v="32"/>
    <m/>
    <n v="1"/>
    <n v="0"/>
    <m/>
  </r>
  <r>
    <x v="0"/>
    <x v="0"/>
    <x v="0"/>
    <s v="Jav"/>
    <s v="JEx"/>
    <n v="2"/>
    <n v="1"/>
    <d v="2021-10-12T00:00:00"/>
    <b v="1"/>
    <n v="36"/>
    <m/>
    <n v="0"/>
    <n v="1"/>
    <m/>
  </r>
  <r>
    <x v="0"/>
    <x v="1"/>
    <x v="1"/>
    <s v="Jav"/>
    <s v="EB"/>
    <n v="2"/>
    <m/>
    <d v="2021-10-12T00:00:00"/>
    <b v="1"/>
    <n v="50"/>
    <m/>
    <n v="1"/>
    <n v="0"/>
    <m/>
  </r>
  <r>
    <x v="0"/>
    <x v="1"/>
    <x v="0"/>
    <s v="Jav"/>
    <m/>
    <n v="2"/>
    <m/>
    <d v="2021-10-14T00:00:00"/>
    <b v="0"/>
    <n v="51"/>
    <m/>
    <n v="0"/>
    <n v="0"/>
    <m/>
  </r>
  <r>
    <x v="0"/>
    <x v="1"/>
    <x v="0"/>
    <s v="Jav"/>
    <s v="….."/>
    <n v="2"/>
    <m/>
    <d v="2021-10-14T00:00:00"/>
    <b v="1"/>
    <n v="52"/>
    <m/>
    <n v="1"/>
    <n v="0"/>
    <m/>
  </r>
  <r>
    <x v="0"/>
    <x v="1"/>
    <x v="0"/>
    <s v="Jav"/>
    <s v="JEx"/>
    <n v="2"/>
    <m/>
    <d v="2021-10-12T00:00:00"/>
    <b v="1"/>
    <n v="60"/>
    <m/>
    <n v="0"/>
    <n v="0"/>
    <m/>
  </r>
  <r>
    <x v="0"/>
    <x v="0"/>
    <x v="0"/>
    <s v="Jav"/>
    <s v="JEx"/>
    <m/>
    <n v="2"/>
    <m/>
    <b v="1"/>
    <n v="64"/>
    <s v="oui par 144"/>
    <m/>
    <m/>
    <s v="pas de plante"/>
  </r>
  <r>
    <x v="0"/>
    <x v="0"/>
    <x v="1"/>
    <s v="Jav"/>
    <s v="JEx"/>
    <n v="2"/>
    <n v="2"/>
    <d v="2021-10-12T00:00:00"/>
    <b v="1"/>
    <n v="70"/>
    <m/>
    <n v="1"/>
    <n v="0"/>
    <m/>
  </r>
  <r>
    <x v="0"/>
    <x v="1"/>
    <x v="1"/>
    <s v="Jav"/>
    <s v="JEx"/>
    <n v="2"/>
    <n v="2"/>
    <d v="2021-10-12T00:00:00"/>
    <b v="1"/>
    <n v="74"/>
    <m/>
    <n v="1"/>
    <n v="0"/>
    <m/>
  </r>
  <r>
    <x v="0"/>
    <x v="1"/>
    <x v="0"/>
    <s v="Jav"/>
    <s v="JEx"/>
    <n v="2"/>
    <n v="2"/>
    <d v="2021-10-12T00:00:00"/>
    <b v="1"/>
    <n v="78"/>
    <m/>
    <n v="0"/>
    <n v="0"/>
    <m/>
  </r>
  <r>
    <x v="0"/>
    <x v="1"/>
    <x v="1"/>
    <s v="Jav"/>
    <s v="JEx"/>
    <n v="2"/>
    <n v="3"/>
    <d v="2021-10-13T00:00:00"/>
    <b v="1"/>
    <n v="82"/>
    <m/>
    <n v="1"/>
    <n v="0"/>
    <m/>
  </r>
  <r>
    <x v="0"/>
    <x v="0"/>
    <x v="1"/>
    <s v="Jav"/>
    <s v="JEx"/>
    <n v="2"/>
    <n v="3"/>
    <d v="2021-10-13T00:00:00"/>
    <b v="1"/>
    <n v="86"/>
    <m/>
    <n v="0"/>
    <n v="0"/>
    <m/>
  </r>
  <r>
    <x v="0"/>
    <x v="0"/>
    <x v="0"/>
    <s v="Jav"/>
    <s v="JEx"/>
    <n v="2"/>
    <n v="3"/>
    <d v="2021-10-13T00:00:00"/>
    <b v="1"/>
    <n v="90"/>
    <m/>
    <n v="0"/>
    <n v="0"/>
    <m/>
  </r>
  <r>
    <x v="0"/>
    <x v="1"/>
    <x v="0"/>
    <s v="Jav"/>
    <s v="JEx"/>
    <n v="2"/>
    <n v="3"/>
    <d v="2021-10-13T00:00:00"/>
    <b v="1"/>
    <n v="96"/>
    <m/>
    <n v="1"/>
    <n v="0"/>
    <m/>
  </r>
  <r>
    <x v="0"/>
    <x v="0"/>
    <x v="1"/>
    <s v="Jav"/>
    <s v="JEx"/>
    <n v="2"/>
    <m/>
    <d v="2021-10-13T00:00:00"/>
    <b v="1"/>
    <n v="102"/>
    <m/>
    <n v="0"/>
    <n v="0"/>
    <m/>
  </r>
  <r>
    <x v="0"/>
    <x v="1"/>
    <x v="1"/>
    <s v="Jav"/>
    <s v="JEx"/>
    <n v="2"/>
    <n v="4"/>
    <d v="2021-10-13T00:00:00"/>
    <b v="1"/>
    <n v="108"/>
    <m/>
    <n v="1"/>
    <n v="1"/>
    <m/>
  </r>
  <r>
    <x v="0"/>
    <x v="1"/>
    <x v="0"/>
    <s v="Jav"/>
    <s v="JEx"/>
    <n v="2"/>
    <n v="4"/>
    <d v="2021-10-14T00:00:00"/>
    <b v="1"/>
    <n v="114"/>
    <s v="oui par 60"/>
    <n v="0"/>
    <n v="0"/>
    <m/>
  </r>
  <r>
    <x v="0"/>
    <x v="0"/>
    <x v="0"/>
    <s v="Jav"/>
    <s v="JEx"/>
    <n v="2"/>
    <n v="4"/>
    <d v="2021-10-13T00:00:00"/>
    <b v="1"/>
    <n v="118"/>
    <m/>
    <n v="1"/>
    <n v="1"/>
    <m/>
  </r>
  <r>
    <x v="0"/>
    <x v="0"/>
    <x v="1"/>
    <s v="Jav"/>
    <s v="JEx"/>
    <n v="2"/>
    <n v="4"/>
    <d v="2021-10-13T00:00:00"/>
    <b v="1"/>
    <n v="122"/>
    <m/>
    <n v="0"/>
    <n v="0"/>
    <m/>
  </r>
  <r>
    <x v="0"/>
    <x v="1"/>
    <x v="0"/>
    <s v="Jav"/>
    <s v="JEx"/>
    <n v="2"/>
    <n v="5"/>
    <d v="2021-10-14T00:00:00"/>
    <b v="1"/>
    <n v="124"/>
    <m/>
    <n v="0"/>
    <n v="0"/>
    <m/>
  </r>
  <r>
    <x v="0"/>
    <x v="0"/>
    <x v="0"/>
    <s v="Jav"/>
    <s v="JEx"/>
    <n v="2"/>
    <n v="5"/>
    <d v="2021-10-14T00:00:00"/>
    <b v="1"/>
    <n v="126"/>
    <m/>
    <n v="0"/>
    <n v="0"/>
    <m/>
  </r>
  <r>
    <x v="0"/>
    <x v="1"/>
    <x v="1"/>
    <s v="Jav"/>
    <s v="JEx"/>
    <n v="2"/>
    <n v="5"/>
    <d v="2021-10-14T00:00:00"/>
    <b v="1"/>
    <n v="130"/>
    <m/>
    <n v="1"/>
    <n v="0"/>
    <s v="tube ouvert dans l'azote concernant le contrôle de contamination"/>
  </r>
  <r>
    <x v="0"/>
    <x v="0"/>
    <x v="0"/>
    <s v="Jav"/>
    <s v="JEx"/>
    <n v="2"/>
    <m/>
    <d v="2021-10-14T00:00:00"/>
    <b v="1"/>
    <n v="144"/>
    <m/>
    <n v="0"/>
    <n v="0"/>
    <m/>
  </r>
  <r>
    <x v="1"/>
    <x v="0"/>
    <x v="0"/>
    <s v="Jav"/>
    <s v="JEx"/>
    <n v="2"/>
    <n v="1"/>
    <d v="2021-10-14T00:00:00"/>
    <b v="1"/>
    <n v="1004"/>
    <m/>
    <n v="0"/>
    <n v="0"/>
    <s v="pas de tube contamination_test"/>
  </r>
  <r>
    <x v="1"/>
    <x v="1"/>
    <x v="0"/>
    <s v="Jav"/>
    <s v="JEx"/>
    <n v="2"/>
    <n v="1"/>
    <d v="2021-10-12T00:00:00"/>
    <b v="1"/>
    <n v="1022"/>
    <m/>
    <n v="0"/>
    <n v="1"/>
    <m/>
  </r>
  <r>
    <x v="1"/>
    <x v="0"/>
    <x v="1"/>
    <s v="Jav"/>
    <s v="JEx"/>
    <n v="2"/>
    <n v="1"/>
    <d v="2021-10-12T00:00:00"/>
    <b v="1"/>
    <n v="1032"/>
    <m/>
    <n v="1"/>
    <n v="1"/>
    <m/>
  </r>
  <r>
    <x v="1"/>
    <x v="1"/>
    <x v="1"/>
    <s v="Jav"/>
    <s v="JEx"/>
    <n v="2"/>
    <n v="1"/>
    <d v="2021-10-12T00:00:00"/>
    <b v="1"/>
    <n v="1046"/>
    <m/>
    <n v="1"/>
    <n v="1"/>
    <m/>
  </r>
  <r>
    <x v="1"/>
    <x v="1"/>
    <x v="1"/>
    <s v="Jav"/>
    <s v="JEx"/>
    <n v="2"/>
    <m/>
    <d v="2021-10-14T00:00:00"/>
    <b v="1"/>
    <n v="1058"/>
    <m/>
    <n v="0"/>
    <n v="1"/>
    <m/>
  </r>
  <r>
    <x v="1"/>
    <x v="1"/>
    <x v="0"/>
    <s v="Jav"/>
    <s v="EB"/>
    <n v="2"/>
    <m/>
    <d v="2021-10-12T00:00:00"/>
    <b v="1"/>
    <n v="1060"/>
    <m/>
    <n v="1"/>
    <n v="1"/>
    <m/>
  </r>
  <r>
    <x v="1"/>
    <x v="0"/>
    <x v="0"/>
    <s v="Jav"/>
    <s v="JEx"/>
    <n v="2"/>
    <n v="2"/>
    <d v="2021-10-12T00:00:00"/>
    <b v="1"/>
    <n v="1064"/>
    <m/>
    <n v="0"/>
    <n v="0"/>
    <m/>
  </r>
  <r>
    <x v="1"/>
    <x v="0"/>
    <x v="1"/>
    <s v="Jav"/>
    <s v="JEx"/>
    <n v="2"/>
    <n v="2"/>
    <d v="2021-10-12T00:00:00"/>
    <b v="1"/>
    <n v="1070"/>
    <m/>
    <n v="0"/>
    <n v="1"/>
    <m/>
  </r>
  <r>
    <x v="1"/>
    <x v="1"/>
    <x v="1"/>
    <s v="Jav"/>
    <s v="JEx"/>
    <n v="2"/>
    <n v="2"/>
    <d v="2021-10-12T00:00:00"/>
    <b v="1"/>
    <n v="1074"/>
    <m/>
    <n v="1"/>
    <n v="1"/>
    <m/>
  </r>
  <r>
    <x v="1"/>
    <x v="0"/>
    <x v="1"/>
    <s v="Jav"/>
    <s v="JEx"/>
    <n v="2"/>
    <n v="3"/>
    <d v="2021-10-13T00:00:00"/>
    <b v="1"/>
    <n v="1086"/>
    <m/>
    <n v="1"/>
    <n v="1"/>
    <m/>
  </r>
  <r>
    <x v="1"/>
    <x v="0"/>
    <x v="0"/>
    <s v="Jav"/>
    <s v="JEx"/>
    <n v="2"/>
    <n v="3"/>
    <d v="2021-10-13T00:00:00"/>
    <b v="1"/>
    <n v="1090"/>
    <m/>
    <n v="0"/>
    <n v="0"/>
    <m/>
  </r>
  <r>
    <x v="1"/>
    <x v="1"/>
    <x v="0"/>
    <s v="Jav"/>
    <s v="JEx"/>
    <n v="2"/>
    <n v="3"/>
    <d v="2021-10-13T00:00:00"/>
    <b v="1"/>
    <n v="1096"/>
    <m/>
    <n v="0"/>
    <n v="0"/>
    <m/>
  </r>
  <r>
    <x v="1"/>
    <x v="0"/>
    <x v="1"/>
    <s v="Jav"/>
    <s v="JEx"/>
    <n v="2"/>
    <m/>
    <d v="2021-10-13T00:00:00"/>
    <b v="1"/>
    <n v="1102"/>
    <m/>
    <n v="0"/>
    <n v="1"/>
    <m/>
  </r>
  <r>
    <x v="1"/>
    <x v="1"/>
    <x v="1"/>
    <s v="Jav"/>
    <s v="JEx"/>
    <n v="2"/>
    <n v="4"/>
    <d v="2021-10-14T00:00:00"/>
    <b v="0"/>
    <n v="1107"/>
    <s v="oui par 1057"/>
    <n v="0"/>
    <n v="0"/>
    <s v="au final les deux en javel"/>
  </r>
  <r>
    <x v="1"/>
    <x v="1"/>
    <x v="1"/>
    <s v="Jav"/>
    <s v="JEx"/>
    <n v="2"/>
    <n v="4"/>
    <d v="2021-10-14T00:00:00"/>
    <b v="1"/>
    <n v="1108"/>
    <s v="oui par 1058"/>
    <n v="1"/>
    <n v="1"/>
    <s v="au final les deux en javel, attention probleme apex "/>
  </r>
  <r>
    <x v="1"/>
    <x v="1"/>
    <x v="0"/>
    <s v="Jav"/>
    <s v="JEx"/>
    <n v="2"/>
    <n v="4"/>
    <d v="2021-10-13T00:00:00"/>
    <b v="1"/>
    <n v="1114"/>
    <m/>
    <n v="1"/>
    <n v="1"/>
    <m/>
  </r>
  <r>
    <x v="1"/>
    <x v="0"/>
    <x v="0"/>
    <s v="Jav"/>
    <s v="JEx"/>
    <n v="2"/>
    <n v="4"/>
    <d v="2021-10-13T00:00:00"/>
    <b v="1"/>
    <n v="1118"/>
    <m/>
    <n v="1"/>
    <n v="0"/>
    <s v="une partie des latéral pas pris car à traverser membrane"/>
  </r>
  <r>
    <x v="1"/>
    <x v="0"/>
    <x v="1"/>
    <s v="Jav"/>
    <s v="JEx"/>
    <m/>
    <n v="4"/>
    <m/>
    <b v="1"/>
    <n v="1122"/>
    <s v="oui par 1102"/>
    <m/>
    <m/>
    <s v="pb apex "/>
  </r>
  <r>
    <x v="1"/>
    <x v="1"/>
    <x v="0"/>
    <s v="Jav"/>
    <s v="JEx"/>
    <n v="2"/>
    <n v="5"/>
    <d v="2021-10-13T00:00:00"/>
    <b v="1"/>
    <n v="1124"/>
    <m/>
    <n v="1"/>
    <n v="1"/>
    <s v="feuille trifolié abimé mais analyse réalisé"/>
  </r>
  <r>
    <x v="1"/>
    <x v="0"/>
    <x v="0"/>
    <s v="Jav"/>
    <s v="JEx"/>
    <n v="2"/>
    <n v="5"/>
    <d v="2021-10-14T00:00:00"/>
    <b v="1"/>
    <n v="1126"/>
    <m/>
    <n v="1"/>
    <n v="1"/>
    <m/>
  </r>
  <r>
    <x v="1"/>
    <x v="1"/>
    <x v="1"/>
    <s v="Jav"/>
    <s v="JEx"/>
    <n v="2"/>
    <n v="5"/>
    <d v="2021-10-14T00:00:00"/>
    <b v="1"/>
    <n v="1130"/>
    <m/>
    <n v="1"/>
    <n v="1"/>
    <m/>
  </r>
  <r>
    <x v="1"/>
    <x v="0"/>
    <x v="1"/>
    <s v="Jav"/>
    <s v="JEx"/>
    <n v="2"/>
    <n v="5"/>
    <d v="2021-10-14T00:00:00"/>
    <b v="1"/>
    <n v="1134"/>
    <m/>
    <n v="1"/>
    <n v="0"/>
    <m/>
  </r>
  <r>
    <x v="1"/>
    <x v="0"/>
    <x v="0"/>
    <s v="Jav"/>
    <s v="EB"/>
    <n v="2"/>
    <m/>
    <d v="2021-10-12T00:00:00"/>
    <b v="1"/>
    <n v="1144"/>
    <m/>
    <n v="0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0556A-E106-45E9-BB2F-4034533B9128}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colGrandTotals="0" itemPrintTitles="1" createdVersion="6" indent="0" outline="1" outlineData="1" multipleFieldFilters="0">
  <location ref="A3:E19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Row" showAll="0" defaultSubtotal="0">
      <items count="2">
        <item x="1"/>
        <item x="0"/>
      </items>
    </pivotField>
    <pivotField axis="axisRow" showAll="0" defaultSubtotal="0">
      <items count="2">
        <item x="1"/>
        <item x="0"/>
      </items>
    </pivotField>
    <pivotField axis="axisRow" showAll="0">
      <items count="3">
        <item x="0"/>
        <item x="1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axis="axisCol"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>
      <items count="2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6"/>
    <field x="7"/>
  </rowFields>
  <rowItems count="15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12"/>
  </colFields>
  <colItems count="4">
    <i>
      <x v="286"/>
    </i>
    <i>
      <x v="287"/>
    </i>
    <i>
      <x v="288"/>
    </i>
    <i>
      <x v="289"/>
    </i>
  </colItems>
  <pageFields count="1">
    <pageField fld="8" item="2" hier="-1"/>
  </pageFields>
  <dataFields count="1">
    <dataField name="Nombre de plant_num" fld="14" subtotal="count" baseField="5" baseItem="0"/>
  </dataFields>
  <conditionalFormats count="1">
    <conditionalFormat priority="1">
      <pivotAreas count="4">
        <pivotArea type="data" collapsedLevelsAreSubtotals="1" fieldPosition="0">
          <references count="5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0"/>
            </reference>
            <reference field="7" count="2">
              <x v="0"/>
              <x v="1"/>
            </reference>
            <reference field="12" count="3" selected="0">
              <x v="286"/>
              <x v="287"/>
              <x v="288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5" count="1" selected="0">
              <x v="0"/>
            </reference>
            <reference field="6" count="1" selected="0">
              <x v="1"/>
            </reference>
            <reference field="7" count="2">
              <x v="0"/>
              <x v="1"/>
            </reference>
            <reference field="12" count="3" selected="0">
              <x v="286"/>
              <x v="287"/>
              <x v="288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0"/>
            </reference>
            <reference field="7" count="2">
              <x v="0"/>
              <x v="1"/>
            </reference>
            <reference field="12" count="3" selected="0">
              <x v="286"/>
              <x v="287"/>
              <x v="288"/>
            </reference>
          </references>
        </pivotArea>
        <pivotArea type="data" collapsedLevelsAreSubtotals="1" fieldPosition="0">
          <references count="5">
            <reference field="4294967294" count="1" selected="0">
              <x v="0"/>
            </reference>
            <reference field="5" count="1" selected="0">
              <x v="1"/>
            </reference>
            <reference field="6" count="1" selected="0">
              <x v="1"/>
            </reference>
            <reference field="7" count="2">
              <x v="0"/>
              <x v="1"/>
            </reference>
            <reference field="12" count="3" selected="0">
              <x v="286"/>
              <x v="287"/>
              <x v="28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8F45A-BBF0-4180-9E98-C3843DA8DED0}" name="Tableau croisé dynamique1" cacheId="1" applyNumberFormats="0" applyBorderFormats="0" applyFontFormats="0" applyPatternFormats="0" applyAlignmentFormats="0" applyWidthHeightFormats="1" dataCaption="Valeurs" updatedVersion="6" minRefreshableVersion="3" useAutoFormatting="1" rowGrandTotals="0" colGrandTotals="0" itemPrintTitles="1" createdVersion="6" indent="0" outline="1" outlineData="1" multipleFieldFilters="0" chartFormat="1">
  <location ref="T1:V15" firstHeaderRow="0" firstDataRow="1" firstDataCol="1"/>
  <pivotFields count="14"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3">
    <field x="2"/>
    <field x="1"/>
    <field x="0"/>
  </rowFields>
  <rowItems count="14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</rowItems>
  <colFields count="1">
    <field x="-2"/>
  </colFields>
  <colItems count="2">
    <i>
      <x/>
    </i>
    <i i="1">
      <x v="1"/>
    </i>
  </colItems>
  <dataFields count="2">
    <dataField name="Somme de conta_TSA" fld="11" baseField="0" baseItem="0"/>
    <dataField name="Somme de conta_malteAgar" fld="12" baseField="0" baseItem="0"/>
  </dataFields>
  <conditionalFormats count="1">
    <conditionalFormat priority="1">
      <pivotAreas count="9">
        <pivotArea type="data" collapsedLevelsAreSubtotals="1" fieldPosition="0">
          <references count="2">
            <reference field="1" count="1">
              <x v="0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3">
            <reference field="0" count="2">
              <x v="0"/>
              <x v="1"/>
            </reference>
            <reference field="1" count="1" selected="0">
              <x v="0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2">
            <reference field="1" count="1">
              <x v="1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3">
            <reference field="0" count="2">
              <x v="0"/>
              <x v="1"/>
            </reference>
            <reference field="1" count="1" selected="0">
              <x v="1"/>
            </reference>
            <reference field="2" count="1" selected="0">
              <x v="0"/>
            </reference>
          </references>
        </pivotArea>
        <pivotArea type="data" collapsedLevelsAreSubtotals="1" fieldPosition="0">
          <references count="1">
            <reference field="2" count="1">
              <x v="1"/>
            </reference>
          </references>
        </pivotArea>
        <pivotArea type="data" collapsedLevelsAreSubtotals="1" fieldPosition="0">
          <references count="2">
            <reference field="1" count="1">
              <x v="0"/>
            </reference>
            <reference field="2" count="1" selected="0">
              <x v="1"/>
            </reference>
          </references>
        </pivotArea>
        <pivotArea type="data" collapsedLevelsAreSubtotals="1" fieldPosition="0">
          <references count="3">
            <reference field="0" count="2">
              <x v="0"/>
              <x v="1"/>
            </reference>
            <reference field="1" count="1" selected="0">
              <x v="0"/>
            </reference>
            <reference field="2" count="1" selected="0">
              <x v="1"/>
            </reference>
          </references>
        </pivotArea>
        <pivotArea type="data" collapsedLevelsAreSubtotals="1" fieldPosition="0">
          <references count="2">
            <reference field="1" count="1">
              <x v="1"/>
            </reference>
            <reference field="2" count="1" selected="0">
              <x v="1"/>
            </reference>
          </references>
        </pivotArea>
        <pivotArea type="data" collapsedLevelsAreSubtotals="1" fieldPosition="0">
          <references count="3">
            <reference field="0" count="2">
              <x v="0"/>
              <x v="1"/>
            </reference>
            <reference field="1" count="1" selected="0">
              <x v="1"/>
            </reference>
            <reference field="2" count="1" selected="0">
              <x v="1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heat_condition" xr10:uid="{164464D1-9740-4C73-92A5-0B2D3A49C0A0}" sourceName="heat_condition">
  <extLst>
    <x:ext xmlns:x15="http://schemas.microsoft.com/office/spreadsheetml/2010/11/main" uri="{2F2917AC-EB37-4324-AD4E-5DD8C200BD13}">
      <x15:tableSlicerCache tableId="6" column="6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water_condition" xr10:uid="{3E59DA85-3470-4436-A6E0-F2973770E54B}" sourceName="water_condition">
  <extLst>
    <x:ext xmlns:x15="http://schemas.microsoft.com/office/spreadsheetml/2010/11/main" uri="{2F2917AC-EB37-4324-AD4E-5DD8C200BD13}">
      <x15:tableSlicerCache tableId="6" column="7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genotype" xr10:uid="{956C5302-032B-45C2-BE19-97234DC53DBE}" sourceName="genotype">
  <extLst>
    <x:ext xmlns:x15="http://schemas.microsoft.com/office/spreadsheetml/2010/11/main" uri="{2F2917AC-EB37-4324-AD4E-5DD8C200BD13}">
      <x15:tableSlicerCache tableId="6" column="8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heat_condition" xr10:uid="{42A36C79-AC6B-4897-A6AC-00844A58A6FE}" cache="Segment_heat_condition" caption="heat_condition" rowHeight="241300"/>
  <slicer name="water_condition" xr10:uid="{85C6E306-B92D-4A1B-BB7C-E3B586671623}" cache="Segment_water_condition" caption="water_condition" rowHeight="241300"/>
  <slicer name="genotype" xr10:uid="{3DDD5B46-4B01-40CA-B227-A1D256248280}" cache="Segment_genotype" caption="genotype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932CC-8C50-41E7-B15B-A0A00BB5C633}" name="Tableau1" displayName="Tableau1" ref="A1:P77" totalsRowShown="0" headerRowDxfId="226" dataDxfId="224" headerRowBorderDxfId="225" tableBorderDxfId="223" totalsRowBorderDxfId="222">
  <autoFilter ref="A1:P77" xr:uid="{7A1CFF87-6D47-42D1-9D87-1A5BB598C7B5}">
    <filterColumn colId="10">
      <customFilters>
        <customFilter operator="notEqual" val=" "/>
      </customFilters>
    </filterColumn>
  </autoFilter>
  <sortState xmlns:xlrd2="http://schemas.microsoft.com/office/spreadsheetml/2017/richdata2" ref="A3:P76">
    <sortCondition ref="K1:K77"/>
  </sortState>
  <tableColumns count="16">
    <tableColumn id="1" xr3:uid="{968FC9DE-4BE0-46D6-8E47-089BFEC80120}" name="genotype" dataDxfId="221"/>
    <tableColumn id="2" xr3:uid="{214DD976-DA37-4E57-ACE4-334DFAE97B69}" name="heat_condition" dataDxfId="220"/>
    <tableColumn id="3" xr3:uid="{F1E62791-B086-4D5A-BDC9-2FB7C3B81A91}" name="water_condition" dataDxfId="219"/>
    <tableColumn id="4" xr3:uid="{4ABD0D1D-0ECA-495C-AAE3-F26304262CC7}" name="analyse_by_plant" dataDxfId="218"/>
    <tableColumn id="5" xr3:uid="{C1587799-9713-4DD3-AE70-2DE5B6E1ADE0}" name="recolte" dataDxfId="217"/>
    <tableColumn id="6" xr3:uid="{444D13E1-E568-4EC2-83F4-E3FC50C02034}" name="rep" dataDxfId="216"/>
    <tableColumn id="7" xr3:uid="{582CB7F5-9D66-41AA-86FB-63955DADAF43}" name="paire" dataDxfId="215"/>
    <tableColumn id="8" xr3:uid="{989A78CD-5B14-47C9-9D79-7CFF89029FFA}" name="je_prend" dataDxfId="214"/>
    <tableColumn id="10" xr3:uid="{F00BBA76-FFBE-4926-86A2-C066FCBC40C0}" name="date_recolte" dataDxfId="213"/>
    <tableColumn id="11" xr3:uid="{5700EFFD-2B20-4D97-879B-4EE046DBAAB1}" name="horaire_recolte_aprox" dataDxfId="212"/>
    <tableColumn id="9" xr3:uid="{0F049C1D-8B7A-4FC3-85F1-8D45A0E279C1}" name="pool" dataDxfId="211"/>
    <tableColumn id="12" xr3:uid="{CE371085-A812-4082-8437-016F6FCAFB2B}" name="plant_num" dataDxfId="210"/>
    <tableColumn id="16" xr3:uid="{F7974F6D-F361-4CC6-B7C1-5C9B608036F6}" name="Colonne1" dataDxfId="209">
      <calculatedColumnFormula>IF(Tableau1[[#This Row],[genotype]]="Wendy","Wen","Sto")&amp;"_"&amp;Tableau1[[#This Row],[water_condition]]&amp;"_"&amp;Tableau1[[#This Row],[heat_condition]]</calculatedColumnFormula>
    </tableColumn>
    <tableColumn id="13" xr3:uid="{19F69D42-6C00-4DAA-9F9F-2F014F80A47F}" name="plante_remplacer" dataDxfId="208"/>
    <tableColumn id="14" xr3:uid="{5BF49049-EFD4-42E6-957A-FE00F5964C34}" name="organe" dataDxfId="207"/>
    <tableColumn id="15" xr3:uid="{F752009F-2534-4911-A39E-D7587AB970FD}" name="note" dataDxfId="20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8048CE-A6CA-4796-B583-534E8E3B2776}" name="Tableau6" displayName="Tableau6" ref="A1:AA77" totalsRowShown="0" headerRowDxfId="205" tableBorderDxfId="204">
  <autoFilter ref="A1:AA77" xr:uid="{AF4A0275-8780-4111-AD1E-0DC79BDEBB65}"/>
  <sortState xmlns:xlrd2="http://schemas.microsoft.com/office/spreadsheetml/2017/richdata2" ref="A2:AA77">
    <sortCondition ref="T1:T77"/>
  </sortState>
  <tableColumns count="27">
    <tableColumn id="1" xr3:uid="{904CC07D-1BE9-410A-A5FE-A864F0439A83}" name="position" dataDxfId="203"/>
    <tableColumn id="2" xr3:uid="{9C0F623E-AD7F-469F-81DD-59B841482865}" name="storage_line" dataDxfId="202"/>
    <tableColumn id="3" xr3:uid="{951EA945-721D-4767-B891-5404386EAEA7}" name="unit" dataDxfId="201"/>
    <tableColumn id="4" xr3:uid="{C791CCB2-FD57-437E-90C0-07C8214F0B61}" name="num_rhizo" dataDxfId="200"/>
    <tableColumn id="5" xr3:uid="{F698769D-614F-42E1-A6D5-4AA744083A80}" name="ref_rhizo_simple" dataDxfId="199"/>
    <tableColumn id="6" xr3:uid="{520D3802-F6B1-40A8-AED9-3EAE3960E99C}" name="heat_condition" dataDxfId="198"/>
    <tableColumn id="7" xr3:uid="{BB249C7A-E797-48B1-A6CC-C2B40694ED2B}" name="water_condition" dataDxfId="197"/>
    <tableColumn id="8" xr3:uid="{B0E2A012-8C57-44AC-9EC9-3867F37C4AC9}" name="genotype" dataDxfId="196"/>
    <tableColumn id="9" xr3:uid="{77490E2B-F3AF-4016-8F41-D5E0460FB5C7}" name="analyse_by_plant" dataDxfId="195"/>
    <tableColumn id="10" xr3:uid="{23FE00A5-0DF7-4654-A424-A33B3B50B48E}" name="acronyme_analyse" dataDxfId="194"/>
    <tableColumn id="11" xr3:uid="{DE9515F1-6E81-4AB4-8691-A19F73B655D3}" name="recolte" dataDxfId="193"/>
    <tableColumn id="12" xr3:uid="{AECB69C5-351A-41CE-9DCC-BE71BCC42310}" name="rep" dataDxfId="192"/>
    <tableColumn id="14" xr3:uid="{2C16BC7B-42CE-4102-9788-F5C51A17C89B}" name="paire" dataDxfId="191"/>
    <tableColumn id="16" xr3:uid="{DD7323C2-7EB4-4CF2-A5C6-4FE8FC6CD985}" name="plante_remplacer" dataDxfId="190"/>
    <tableColumn id="17" xr3:uid="{2FDF0419-10D6-4BD4-B3BC-27D11DB5CD99}" name="note" dataDxfId="189"/>
    <tableColumn id="18" xr3:uid="{5F8A2F4B-D0F3-4C2A-94B6-6A88BD4DF256}" name="je_prend"/>
    <tableColumn id="19" xr3:uid="{2D4EE60D-0113-47DC-B654-69AD83B8525B}" name="pool"/>
    <tableColumn id="13" xr3:uid="{44E67EF9-B3F1-4FC7-B2EE-9BDB8C4CC3B5}" name="date_recolte" dataDxfId="188"/>
    <tableColumn id="24" xr3:uid="{08977685-121A-4FAC-9891-391D1AD78662}" name="horaire_recolte_aprox" dataDxfId="187"/>
    <tableColumn id="15" xr3:uid="{89736F65-C9CD-4F63-A955-187C39DCF53B}" name="plant_num" dataDxfId="186"/>
    <tableColumn id="20" xr3:uid="{0017BF45-5E42-4E4D-868C-C2805D057671}" name="Depth of the root system" dataDxfId="185"/>
    <tableColumn id="21" xr3:uid="{F7AD88BF-8F72-4746-82B2-E5BFCAA50A39}" name="Width of the root system" dataDxfId="184"/>
    <tableColumn id="25" xr3:uid="{56FC0E82-860D-45A6-9B3A-55517D3140EA}" name="convexhull" dataDxfId="183"/>
    <tableColumn id="27" xr3:uid="{7B035928-72D1-47B8-B77B-02B63CC71CBD}" name="height_of_the_plant" dataDxfId="182"/>
    <tableColumn id="22" xr3:uid="{7710CF16-1005-4432-9D12-2C190D55C305}" name="area" dataDxfId="181"/>
    <tableColumn id="23" xr3:uid="{F58D6517-E894-4800-A0D0-054D0BAC171F}" name="Relative humidity" dataDxfId="180"/>
    <tableColumn id="26" xr3:uid="{1909C197-57E6-4781-8AAB-6E945B9C5C0F}" name="Note_image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91664-C73E-410E-91CD-0BB9D73C153C}" name="Tableau13" displayName="Tableau13" ref="A1:D33" totalsRowShown="0" headerRowDxfId="178" headerRowBorderDxfId="177" tableBorderDxfId="176" totalsRowBorderDxfId="175">
  <autoFilter ref="A1:D33" xr:uid="{6612E56B-6B56-46CF-B211-A22EA0D2EA4C}"/>
  <tableColumns count="4">
    <tableColumn id="1" xr3:uid="{AEAE785C-EA7C-47FD-BF67-6A1500B163E9}" name="Pool" dataDxfId="174"/>
    <tableColumn id="2" xr3:uid="{72F0C40C-A59C-4C6F-A4F3-98585CF7D0BD}" name="compartment" dataDxfId="173"/>
    <tableColumn id="4" xr3:uid="{D6C1454B-0CEF-4533-BF40-EBE57196699C}" name="condition" dataDxfId="172"/>
    <tableColumn id="3" xr3:uid="{8F6AE509-7FD9-4958-9601-AF3D9CAAE725}" name="id" dataDxfId="17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6E5D18-3C4D-4F00-9532-70A1454E96EB}" name="Tableau13468" displayName="Tableau13468" ref="A1:D35" totalsRowShown="0" headerRowDxfId="170" headerRowBorderDxfId="169" tableBorderDxfId="168" totalsRowBorderDxfId="167">
  <autoFilter ref="A1:D35" xr:uid="{A26E5D18-3C4D-4F00-9532-70A1454E96EB}"/>
  <tableColumns count="4">
    <tableColumn id="1" xr3:uid="{B95CC95F-CEA5-441E-AB85-9C9EAB676750}" name="Pool" dataDxfId="166"/>
    <tableColumn id="2" xr3:uid="{B7C63ECD-D040-4EC6-9DD8-43D69C8C0EFC}" name="compartment" dataDxfId="165"/>
    <tableColumn id="4" xr3:uid="{D2617F79-7219-481F-B761-54C8AEBBEBB0}" name="condition" dataDxfId="164"/>
    <tableColumn id="3" xr3:uid="{A6FAB778-80D0-4941-B4EE-A07CE9531307}" name="id" dataDxfId="16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294"/>
  <sheetViews>
    <sheetView zoomScale="70" zoomScaleNormal="70" workbookViewId="0">
      <pane ySplit="1" topLeftCell="A2" activePane="bottomLeft" state="frozen"/>
      <selection pane="bottomLeft" activeCell="AG3" sqref="AG3"/>
    </sheetView>
  </sheetViews>
  <sheetFormatPr baseColWidth="10" defaultColWidth="8.81640625" defaultRowHeight="14.5" x14ac:dyDescent="0.35"/>
  <cols>
    <col min="1" max="1" width="16.7265625" customWidth="1"/>
    <col min="2" max="9" width="0" hidden="1" customWidth="1"/>
    <col min="10" max="10" width="14.81640625" bestFit="1" customWidth="1"/>
    <col min="11" max="11" width="16" customWidth="1"/>
    <col min="12" max="13" width="8.81640625" customWidth="1"/>
    <col min="14" max="14" width="11.1796875" style="6" customWidth="1"/>
    <col min="15" max="15" width="17.1796875" style="6" customWidth="1"/>
    <col min="16" max="16" width="10.54296875" customWidth="1"/>
    <col min="17" max="17" width="10.54296875" style="8" bestFit="1" customWidth="1"/>
    <col min="18" max="18" width="8.81640625" style="8" customWidth="1"/>
    <col min="19" max="20" width="10" style="8" customWidth="1"/>
    <col min="21" max="21" width="16.81640625" customWidth="1"/>
    <col min="22" max="22" width="24.81640625" customWidth="1"/>
    <col min="23" max="23" width="28.81640625" customWidth="1"/>
    <col min="24" max="26" width="15" customWidth="1"/>
    <col min="27" max="27" width="59.81640625" customWidth="1"/>
    <col min="28" max="28" width="49.81640625" customWidth="1"/>
    <col min="29" max="29" width="30.453125" customWidth="1"/>
    <col min="30" max="31" width="42" customWidth="1"/>
  </cols>
  <sheetData>
    <row r="1" spans="1:32" ht="29" x14ac:dyDescent="0.35">
      <c r="A1" s="1" t="s">
        <v>283</v>
      </c>
      <c r="B1" s="1" t="s">
        <v>0</v>
      </c>
      <c r="C1" s="1" t="s">
        <v>1</v>
      </c>
      <c r="D1" s="1" t="s">
        <v>2</v>
      </c>
      <c r="E1" s="1" t="s">
        <v>258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44" t="s">
        <v>269</v>
      </c>
      <c r="P1" s="2" t="s">
        <v>13</v>
      </c>
      <c r="Q1" s="1" t="s">
        <v>14</v>
      </c>
      <c r="R1" s="1" t="s">
        <v>321</v>
      </c>
      <c r="S1" s="1" t="s">
        <v>322</v>
      </c>
      <c r="T1" s="1" t="s">
        <v>327</v>
      </c>
      <c r="U1" s="1" t="s">
        <v>15</v>
      </c>
      <c r="V1" s="1" t="s">
        <v>329</v>
      </c>
      <c r="W1" s="1" t="s">
        <v>333</v>
      </c>
      <c r="X1" s="1" t="s">
        <v>336</v>
      </c>
      <c r="Y1" s="1" t="s">
        <v>339</v>
      </c>
      <c r="Z1" s="1" t="s">
        <v>355</v>
      </c>
      <c r="AA1" s="1" t="s">
        <v>16</v>
      </c>
      <c r="AB1" s="1" t="s">
        <v>324</v>
      </c>
      <c r="AC1" s="1" t="s">
        <v>890</v>
      </c>
      <c r="AD1" s="1" t="s">
        <v>891</v>
      </c>
      <c r="AE1" s="1" t="s">
        <v>892</v>
      </c>
      <c r="AF1" s="1" t="s">
        <v>893</v>
      </c>
    </row>
    <row r="2" spans="1:32" x14ac:dyDescent="0.35">
      <c r="A2" s="3" t="str">
        <f>LEFT(I2,3)&amp;"_"&amp;H2&amp;"_"&amp;G2</f>
        <v>Sto_WW_OT</v>
      </c>
      <c r="B2" s="3">
        <v>1</v>
      </c>
      <c r="C2" s="3">
        <v>5</v>
      </c>
      <c r="D2" s="3" t="s">
        <v>17</v>
      </c>
      <c r="E2" s="3">
        <v>1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>
        <v>1</v>
      </c>
      <c r="M2" s="3">
        <v>1</v>
      </c>
      <c r="N2" s="4">
        <v>44466</v>
      </c>
      <c r="O2" s="4"/>
      <c r="P2" s="5" t="b">
        <v>0</v>
      </c>
      <c r="Q2" s="7">
        <f>E2</f>
        <v>1</v>
      </c>
      <c r="R2" s="7"/>
      <c r="S2" s="7"/>
      <c r="T2" s="7"/>
      <c r="U2" s="3"/>
      <c r="AA2" s="3"/>
      <c r="AC2" t="s">
        <v>888</v>
      </c>
      <c r="AD2" t="s">
        <v>894</v>
      </c>
      <c r="AE2" t="s">
        <v>894</v>
      </c>
      <c r="AF2" t="s">
        <v>895</v>
      </c>
    </row>
    <row r="3" spans="1:32" x14ac:dyDescent="0.35">
      <c r="A3" s="3" t="str">
        <f t="shared" ref="A3:A66" si="0">LEFT(I3,3)&amp;"_"&amp;H3&amp;"_"&amp;G3</f>
        <v>Sto_WW_OT</v>
      </c>
      <c r="B3" s="3">
        <v>1</v>
      </c>
      <c r="C3" s="3">
        <v>5</v>
      </c>
      <c r="D3" s="3" t="s">
        <v>17</v>
      </c>
      <c r="E3" s="3">
        <v>1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>
        <v>1</v>
      </c>
      <c r="M3" s="3">
        <v>1</v>
      </c>
      <c r="N3" s="4">
        <v>44466</v>
      </c>
      <c r="O3" s="4"/>
      <c r="P3" s="5" t="b">
        <v>1</v>
      </c>
      <c r="Q3" s="7">
        <v>2</v>
      </c>
      <c r="R3" s="7"/>
      <c r="S3" s="7"/>
      <c r="T3" s="7"/>
      <c r="U3" s="3"/>
      <c r="AA3" s="3"/>
      <c r="AB3" s="3"/>
      <c r="AC3" t="s">
        <v>888</v>
      </c>
      <c r="AD3" t="s">
        <v>894</v>
      </c>
      <c r="AE3" t="s">
        <v>894</v>
      </c>
    </row>
    <row r="4" spans="1:32" x14ac:dyDescent="0.35">
      <c r="A4" s="3" t="str">
        <f t="shared" si="0"/>
        <v>Wen_WW_OT</v>
      </c>
      <c r="B4" s="3">
        <v>2</v>
      </c>
      <c r="C4" s="3">
        <v>5</v>
      </c>
      <c r="D4" s="3" t="s">
        <v>17</v>
      </c>
      <c r="E4" s="3">
        <v>3</v>
      </c>
      <c r="F4" s="3" t="s">
        <v>24</v>
      </c>
      <c r="G4" s="3" t="s">
        <v>19</v>
      </c>
      <c r="H4" s="3" t="s">
        <v>20</v>
      </c>
      <c r="I4" s="3" t="s">
        <v>25</v>
      </c>
      <c r="J4" s="3" t="s">
        <v>26</v>
      </c>
      <c r="K4" s="3" t="s">
        <v>27</v>
      </c>
      <c r="L4" s="3">
        <v>2</v>
      </c>
      <c r="M4" s="3">
        <v>1</v>
      </c>
      <c r="N4" s="4">
        <v>44483</v>
      </c>
      <c r="O4" s="4"/>
      <c r="P4" s="5" t="b">
        <v>0</v>
      </c>
      <c r="Q4" s="7">
        <f>E4</f>
        <v>3</v>
      </c>
      <c r="R4" s="7"/>
      <c r="S4" s="7"/>
      <c r="T4" s="7" t="s">
        <v>302</v>
      </c>
      <c r="U4" s="3"/>
      <c r="AA4" s="3" t="s">
        <v>209</v>
      </c>
      <c r="AB4" s="3" t="s">
        <v>326</v>
      </c>
      <c r="AC4" s="3" t="s">
        <v>896</v>
      </c>
      <c r="AD4" s="3" t="s">
        <v>896</v>
      </c>
      <c r="AE4" s="3" t="s">
        <v>896</v>
      </c>
      <c r="AF4" t="s">
        <v>895</v>
      </c>
    </row>
    <row r="5" spans="1:32" x14ac:dyDescent="0.35">
      <c r="A5" s="3" t="str">
        <f t="shared" si="0"/>
        <v>Wen_WW_OT</v>
      </c>
      <c r="B5" s="3">
        <v>2</v>
      </c>
      <c r="C5" s="3">
        <v>5</v>
      </c>
      <c r="D5" s="3" t="s">
        <v>17</v>
      </c>
      <c r="E5" s="3">
        <v>3</v>
      </c>
      <c r="F5" s="3" t="s">
        <v>24</v>
      </c>
      <c r="G5" s="3" t="s">
        <v>19</v>
      </c>
      <c r="H5" s="3" t="s">
        <v>20</v>
      </c>
      <c r="I5" s="3" t="s">
        <v>25</v>
      </c>
      <c r="J5" s="3" t="s">
        <v>28</v>
      </c>
      <c r="K5" s="3" t="s">
        <v>27</v>
      </c>
      <c r="L5" s="3">
        <v>2</v>
      </c>
      <c r="M5" s="3">
        <v>1</v>
      </c>
      <c r="N5" s="4">
        <v>44483</v>
      </c>
      <c r="O5" s="4"/>
      <c r="P5" s="5" t="b">
        <v>1</v>
      </c>
      <c r="Q5" s="7">
        <v>4</v>
      </c>
      <c r="R5" s="7"/>
      <c r="S5" s="7"/>
      <c r="T5" s="7"/>
      <c r="U5" s="3"/>
      <c r="AA5" s="3"/>
      <c r="AB5" s="3"/>
      <c r="AC5" s="3"/>
    </row>
    <row r="6" spans="1:32" x14ac:dyDescent="0.35">
      <c r="A6" s="3" t="str">
        <f t="shared" si="0"/>
        <v>Sto_WW_OT</v>
      </c>
      <c r="B6" s="3">
        <v>3</v>
      </c>
      <c r="C6" s="3">
        <v>5</v>
      </c>
      <c r="D6" s="3" t="s">
        <v>17</v>
      </c>
      <c r="E6" s="3">
        <v>5</v>
      </c>
      <c r="F6" s="3" t="s">
        <v>29</v>
      </c>
      <c r="G6" s="3" t="s">
        <v>19</v>
      </c>
      <c r="H6" s="3" t="s">
        <v>20</v>
      </c>
      <c r="I6" s="3" t="s">
        <v>21</v>
      </c>
      <c r="J6" s="3" t="s">
        <v>35</v>
      </c>
      <c r="K6" s="3"/>
      <c r="L6" s="3">
        <v>2</v>
      </c>
      <c r="M6" s="3">
        <v>1</v>
      </c>
      <c r="N6" s="4">
        <v>44483</v>
      </c>
      <c r="O6" s="54">
        <v>0.72916666666666663</v>
      </c>
      <c r="P6" s="5" t="b">
        <v>0</v>
      </c>
      <c r="Q6" s="7">
        <f>E6</f>
        <v>5</v>
      </c>
      <c r="R6" s="7"/>
      <c r="S6" s="7"/>
      <c r="T6" s="7"/>
      <c r="U6" s="3"/>
      <c r="AA6" s="3" t="s">
        <v>275</v>
      </c>
      <c r="AB6" s="3"/>
      <c r="AC6" s="3"/>
      <c r="AF6" t="s">
        <v>895</v>
      </c>
    </row>
    <row r="7" spans="1:32" x14ac:dyDescent="0.35">
      <c r="A7" s="3" t="str">
        <f t="shared" si="0"/>
        <v>Sto_WW_OT</v>
      </c>
      <c r="B7" s="3">
        <v>3</v>
      </c>
      <c r="C7" s="3">
        <v>5</v>
      </c>
      <c r="D7" s="3" t="s">
        <v>17</v>
      </c>
      <c r="E7" s="3">
        <v>5</v>
      </c>
      <c r="F7" s="3" t="s">
        <v>29</v>
      </c>
      <c r="G7" s="3" t="s">
        <v>19</v>
      </c>
      <c r="H7" s="3" t="s">
        <v>20</v>
      </c>
      <c r="I7" s="3" t="s">
        <v>21</v>
      </c>
      <c r="J7" s="3"/>
      <c r="K7" s="3"/>
      <c r="L7" s="3"/>
      <c r="M7" s="3"/>
      <c r="N7" s="4"/>
      <c r="O7" s="4"/>
      <c r="P7" s="5" t="b">
        <v>1</v>
      </c>
      <c r="Q7" s="7">
        <v>6</v>
      </c>
      <c r="R7" s="7"/>
      <c r="S7" s="7"/>
      <c r="T7" s="7"/>
      <c r="U7" s="3"/>
      <c r="AA7" s="3"/>
      <c r="AB7" s="3"/>
      <c r="AC7" s="3"/>
    </row>
    <row r="8" spans="1:32" x14ac:dyDescent="0.35">
      <c r="A8" s="3" t="str">
        <f t="shared" si="0"/>
        <v>Wen_WW_OT</v>
      </c>
      <c r="B8" s="3">
        <v>4</v>
      </c>
      <c r="C8" s="3">
        <v>5</v>
      </c>
      <c r="D8" s="3" t="s">
        <v>17</v>
      </c>
      <c r="E8" s="3">
        <v>7</v>
      </c>
      <c r="F8" s="3" t="s">
        <v>30</v>
      </c>
      <c r="G8" s="3" t="s">
        <v>19</v>
      </c>
      <c r="H8" s="3" t="s">
        <v>20</v>
      </c>
      <c r="I8" s="3" t="s">
        <v>25</v>
      </c>
      <c r="J8" s="3" t="s">
        <v>22</v>
      </c>
      <c r="K8" s="3" t="s">
        <v>23</v>
      </c>
      <c r="L8" s="3">
        <v>1</v>
      </c>
      <c r="M8" s="3">
        <v>1</v>
      </c>
      <c r="N8" s="4">
        <v>44466</v>
      </c>
      <c r="O8" s="4"/>
      <c r="P8" s="5" t="b">
        <v>0</v>
      </c>
      <c r="Q8" s="7">
        <f>E8</f>
        <v>7</v>
      </c>
      <c r="R8" s="7"/>
      <c r="S8" s="7"/>
      <c r="T8" s="7"/>
      <c r="U8" s="3"/>
      <c r="AA8" s="3"/>
      <c r="AB8" s="3"/>
      <c r="AC8" t="s">
        <v>894</v>
      </c>
      <c r="AD8" t="s">
        <v>894</v>
      </c>
      <c r="AE8" t="s">
        <v>894</v>
      </c>
      <c r="AF8" t="s">
        <v>895</v>
      </c>
    </row>
    <row r="9" spans="1:32" x14ac:dyDescent="0.35">
      <c r="A9" s="3" t="str">
        <f t="shared" si="0"/>
        <v>Wen_WW_OT</v>
      </c>
      <c r="B9" s="3">
        <v>4</v>
      </c>
      <c r="C9" s="3">
        <v>5</v>
      </c>
      <c r="D9" s="3" t="s">
        <v>17</v>
      </c>
      <c r="E9" s="3">
        <v>7</v>
      </c>
      <c r="F9" s="3" t="s">
        <v>30</v>
      </c>
      <c r="G9" s="3" t="s">
        <v>19</v>
      </c>
      <c r="H9" s="3" t="s">
        <v>20</v>
      </c>
      <c r="I9" s="3" t="s">
        <v>25</v>
      </c>
      <c r="J9" s="3" t="s">
        <v>22</v>
      </c>
      <c r="K9" s="3" t="s">
        <v>23</v>
      </c>
      <c r="L9" s="3">
        <v>1</v>
      </c>
      <c r="M9" s="3">
        <v>1</v>
      </c>
      <c r="N9" s="4">
        <v>44466</v>
      </c>
      <c r="O9" s="4"/>
      <c r="P9" s="5" t="b">
        <v>1</v>
      </c>
      <c r="Q9" s="7">
        <v>8</v>
      </c>
      <c r="R9" s="7"/>
      <c r="S9" s="7"/>
      <c r="T9" s="7"/>
      <c r="U9" s="3"/>
      <c r="AA9" s="3"/>
      <c r="AB9" s="3"/>
      <c r="AC9" t="s">
        <v>888</v>
      </c>
      <c r="AD9" t="s">
        <v>894</v>
      </c>
      <c r="AE9" t="s">
        <v>894</v>
      </c>
    </row>
    <row r="10" spans="1:32" x14ac:dyDescent="0.35">
      <c r="A10" s="3" t="str">
        <f t="shared" si="0"/>
        <v>Sto_WW_OT</v>
      </c>
      <c r="B10" s="3">
        <v>5</v>
      </c>
      <c r="C10" s="3">
        <v>5</v>
      </c>
      <c r="D10" s="3" t="s">
        <v>17</v>
      </c>
      <c r="E10" s="3">
        <v>9</v>
      </c>
      <c r="F10" s="3" t="s">
        <v>31</v>
      </c>
      <c r="G10" s="3" t="s">
        <v>19</v>
      </c>
      <c r="H10" s="3" t="s">
        <v>20</v>
      </c>
      <c r="I10" s="3" t="s">
        <v>21</v>
      </c>
      <c r="J10" s="3" t="s">
        <v>26</v>
      </c>
      <c r="K10" s="3" t="s">
        <v>27</v>
      </c>
      <c r="L10" s="3">
        <v>2</v>
      </c>
      <c r="M10" s="3">
        <v>2</v>
      </c>
      <c r="N10" s="4">
        <v>44483</v>
      </c>
      <c r="O10" s="4"/>
      <c r="P10" s="5" t="b">
        <v>0</v>
      </c>
      <c r="Q10" s="7">
        <f>E10</f>
        <v>9</v>
      </c>
      <c r="R10" s="7"/>
      <c r="S10" s="7"/>
      <c r="T10" s="7" t="s">
        <v>302</v>
      </c>
      <c r="U10" s="3"/>
      <c r="AA10" s="3" t="s">
        <v>219</v>
      </c>
      <c r="AB10" s="3" t="s">
        <v>326</v>
      </c>
      <c r="AC10" s="3" t="s">
        <v>896</v>
      </c>
      <c r="AD10" s="3" t="s">
        <v>896</v>
      </c>
      <c r="AE10" s="3" t="s">
        <v>896</v>
      </c>
      <c r="AF10" t="s">
        <v>895</v>
      </c>
    </row>
    <row r="11" spans="1:32" x14ac:dyDescent="0.35">
      <c r="A11" s="3" t="str">
        <f t="shared" si="0"/>
        <v>Sto_WW_OT</v>
      </c>
      <c r="B11" s="3">
        <v>5</v>
      </c>
      <c r="C11" s="3">
        <v>5</v>
      </c>
      <c r="D11" s="3" t="s">
        <v>17</v>
      </c>
      <c r="E11" s="3">
        <v>9</v>
      </c>
      <c r="F11" s="3" t="s">
        <v>31</v>
      </c>
      <c r="G11" s="3" t="s">
        <v>19</v>
      </c>
      <c r="H11" s="3" t="s">
        <v>20</v>
      </c>
      <c r="I11" s="3" t="s">
        <v>21</v>
      </c>
      <c r="J11" s="3" t="s">
        <v>28</v>
      </c>
      <c r="K11" s="3" t="s">
        <v>27</v>
      </c>
      <c r="L11" s="3"/>
      <c r="M11" s="3">
        <v>2</v>
      </c>
      <c r="N11" s="4"/>
      <c r="O11" s="4"/>
      <c r="P11" s="5" t="b">
        <v>1</v>
      </c>
      <c r="Q11" s="7">
        <v>10</v>
      </c>
      <c r="R11" s="7"/>
      <c r="S11" s="7"/>
      <c r="T11" s="7"/>
      <c r="U11" s="3"/>
      <c r="AA11" s="3" t="s">
        <v>345</v>
      </c>
      <c r="AB11" s="3"/>
      <c r="AC11" s="3"/>
    </row>
    <row r="12" spans="1:32" x14ac:dyDescent="0.35">
      <c r="A12" s="3" t="str">
        <f t="shared" si="0"/>
        <v>Wen_WW_OT</v>
      </c>
      <c r="B12" s="3">
        <v>6</v>
      </c>
      <c r="C12" s="3">
        <v>5</v>
      </c>
      <c r="D12" s="3" t="s">
        <v>17</v>
      </c>
      <c r="E12" s="3">
        <v>11</v>
      </c>
      <c r="F12" s="3" t="s">
        <v>32</v>
      </c>
      <c r="G12" s="3" t="s">
        <v>19</v>
      </c>
      <c r="H12" s="3" t="s">
        <v>20</v>
      </c>
      <c r="I12" s="3" t="s">
        <v>25</v>
      </c>
      <c r="J12" s="3" t="s">
        <v>22</v>
      </c>
      <c r="K12" s="3" t="s">
        <v>23</v>
      </c>
      <c r="L12" s="3">
        <v>1</v>
      </c>
      <c r="M12" s="3">
        <v>2</v>
      </c>
      <c r="N12" s="4">
        <v>44466</v>
      </c>
      <c r="O12" s="4"/>
      <c r="P12" s="5" t="b">
        <v>0</v>
      </c>
      <c r="Q12" s="7">
        <f>E12</f>
        <v>11</v>
      </c>
      <c r="R12" s="7"/>
      <c r="S12" s="7"/>
      <c r="T12" s="7"/>
      <c r="U12" s="3"/>
      <c r="AA12" s="3"/>
      <c r="AB12" s="3"/>
      <c r="AC12" t="s">
        <v>894</v>
      </c>
      <c r="AD12" t="s">
        <v>894</v>
      </c>
      <c r="AE12" t="s">
        <v>894</v>
      </c>
      <c r="AF12" t="s">
        <v>895</v>
      </c>
    </row>
    <row r="13" spans="1:32" x14ac:dyDescent="0.35">
      <c r="A13" s="3" t="str">
        <f t="shared" si="0"/>
        <v>Wen_WW_OT</v>
      </c>
      <c r="B13" s="3">
        <v>6</v>
      </c>
      <c r="C13" s="3">
        <v>5</v>
      </c>
      <c r="D13" s="3" t="s">
        <v>17</v>
      </c>
      <c r="E13" s="3">
        <v>11</v>
      </c>
      <c r="F13" s="3" t="s">
        <v>32</v>
      </c>
      <c r="G13" s="3" t="s">
        <v>19</v>
      </c>
      <c r="H13" s="3" t="s">
        <v>20</v>
      </c>
      <c r="I13" s="3" t="s">
        <v>25</v>
      </c>
      <c r="J13" s="3" t="s">
        <v>22</v>
      </c>
      <c r="K13" s="3" t="s">
        <v>23</v>
      </c>
      <c r="L13" s="3">
        <v>1</v>
      </c>
      <c r="M13" s="3">
        <v>2</v>
      </c>
      <c r="N13" s="4">
        <v>44466</v>
      </c>
      <c r="O13" s="4"/>
      <c r="P13" s="5" t="b">
        <v>1</v>
      </c>
      <c r="Q13" s="7">
        <v>12</v>
      </c>
      <c r="R13" s="7"/>
      <c r="S13" s="7"/>
      <c r="T13" s="7"/>
      <c r="U13" s="3"/>
      <c r="AA13" s="3"/>
      <c r="AB13" s="3"/>
      <c r="AC13" t="s">
        <v>894</v>
      </c>
      <c r="AD13" t="s">
        <v>894</v>
      </c>
      <c r="AE13" t="s">
        <v>894</v>
      </c>
    </row>
    <row r="14" spans="1:32" x14ac:dyDescent="0.35">
      <c r="A14" s="3" t="str">
        <f t="shared" si="0"/>
        <v>Sto_WW_OT</v>
      </c>
      <c r="B14" s="3">
        <v>7</v>
      </c>
      <c r="C14" s="3">
        <v>5</v>
      </c>
      <c r="D14" s="3" t="s">
        <v>17</v>
      </c>
      <c r="E14" s="3">
        <v>13</v>
      </c>
      <c r="F14" s="3" t="s">
        <v>33</v>
      </c>
      <c r="G14" s="3" t="s">
        <v>19</v>
      </c>
      <c r="H14" s="3" t="s">
        <v>20</v>
      </c>
      <c r="I14" s="3" t="s">
        <v>21</v>
      </c>
      <c r="J14" s="3" t="s">
        <v>22</v>
      </c>
      <c r="K14" s="3" t="s">
        <v>23</v>
      </c>
      <c r="L14" s="3">
        <v>1</v>
      </c>
      <c r="M14" s="3">
        <v>2</v>
      </c>
      <c r="N14" s="4">
        <v>44466</v>
      </c>
      <c r="O14" s="4"/>
      <c r="P14" s="5" t="b">
        <v>0</v>
      </c>
      <c r="Q14" s="7">
        <f>E14</f>
        <v>13</v>
      </c>
      <c r="R14" s="7"/>
      <c r="S14" s="7"/>
      <c r="T14" s="7"/>
      <c r="U14" s="3"/>
      <c r="AA14" s="3"/>
      <c r="AB14" s="3"/>
      <c r="AC14" t="s">
        <v>888</v>
      </c>
      <c r="AD14" t="s">
        <v>894</v>
      </c>
      <c r="AE14" t="s">
        <v>894</v>
      </c>
      <c r="AF14" t="s">
        <v>895</v>
      </c>
    </row>
    <row r="15" spans="1:32" x14ac:dyDescent="0.35">
      <c r="A15" s="3" t="str">
        <f t="shared" si="0"/>
        <v>Sto_WW_OT</v>
      </c>
      <c r="B15" s="3">
        <v>7</v>
      </c>
      <c r="C15" s="3">
        <v>5</v>
      </c>
      <c r="D15" s="3" t="s">
        <v>17</v>
      </c>
      <c r="E15" s="3">
        <v>13</v>
      </c>
      <c r="F15" s="3" t="s">
        <v>33</v>
      </c>
      <c r="G15" s="3" t="s">
        <v>19</v>
      </c>
      <c r="H15" s="3" t="s">
        <v>20</v>
      </c>
      <c r="I15" s="3" t="s">
        <v>21</v>
      </c>
      <c r="J15" s="3" t="s">
        <v>22</v>
      </c>
      <c r="K15" s="3" t="s">
        <v>23</v>
      </c>
      <c r="L15" s="3">
        <v>1</v>
      </c>
      <c r="M15" s="3">
        <v>2</v>
      </c>
      <c r="N15" s="4">
        <v>44466</v>
      </c>
      <c r="O15" s="4"/>
      <c r="P15" s="5" t="b">
        <v>1</v>
      </c>
      <c r="Q15" s="7">
        <v>14</v>
      </c>
      <c r="R15" s="7"/>
      <c r="S15" s="7"/>
      <c r="T15" s="7"/>
      <c r="U15" s="3"/>
      <c r="AA15" s="3"/>
      <c r="AB15" s="3"/>
      <c r="AC15" t="s">
        <v>894</v>
      </c>
      <c r="AD15" t="s">
        <v>894</v>
      </c>
      <c r="AE15" t="s">
        <v>894</v>
      </c>
    </row>
    <row r="16" spans="1:32" x14ac:dyDescent="0.35">
      <c r="A16" s="3" t="str">
        <f t="shared" si="0"/>
        <v>Wen_WW_OT</v>
      </c>
      <c r="B16" s="3">
        <v>8</v>
      </c>
      <c r="C16" s="3">
        <v>5</v>
      </c>
      <c r="D16" s="3" t="s">
        <v>17</v>
      </c>
      <c r="E16" s="3">
        <v>15</v>
      </c>
      <c r="F16" s="3" t="s">
        <v>34</v>
      </c>
      <c r="G16" s="3" t="s">
        <v>19</v>
      </c>
      <c r="H16" s="3" t="s">
        <v>20</v>
      </c>
      <c r="I16" s="3" t="s">
        <v>25</v>
      </c>
      <c r="J16" s="3" t="s">
        <v>22</v>
      </c>
      <c r="K16" s="3" t="s">
        <v>23</v>
      </c>
      <c r="L16" s="3">
        <v>2</v>
      </c>
      <c r="M16" s="3">
        <v>2</v>
      </c>
      <c r="N16" s="4">
        <v>44481</v>
      </c>
      <c r="O16" s="54">
        <v>0.34375</v>
      </c>
      <c r="P16" s="5" t="b">
        <v>0</v>
      </c>
      <c r="Q16" s="7">
        <f>E16</f>
        <v>15</v>
      </c>
      <c r="R16" s="7"/>
      <c r="S16" s="7"/>
      <c r="T16" s="7"/>
      <c r="U16" s="3"/>
      <c r="Y16" t="s">
        <v>302</v>
      </c>
      <c r="AA16" s="3"/>
      <c r="AB16" s="3"/>
      <c r="AC16" t="s">
        <v>894</v>
      </c>
      <c r="AD16" t="s">
        <v>894</v>
      </c>
      <c r="AE16" t="s">
        <v>894</v>
      </c>
      <c r="AF16" t="s">
        <v>895</v>
      </c>
    </row>
    <row r="17" spans="1:32" x14ac:dyDescent="0.35">
      <c r="A17" s="3" t="str">
        <f t="shared" si="0"/>
        <v>Wen_WW_OT</v>
      </c>
      <c r="B17" s="3">
        <v>8</v>
      </c>
      <c r="C17" s="3">
        <v>5</v>
      </c>
      <c r="D17" s="3" t="s">
        <v>17</v>
      </c>
      <c r="E17" s="3">
        <v>15</v>
      </c>
      <c r="F17" s="3" t="s">
        <v>34</v>
      </c>
      <c r="G17" s="3" t="s">
        <v>19</v>
      </c>
      <c r="H17" s="3" t="s">
        <v>20</v>
      </c>
      <c r="I17" s="3" t="s">
        <v>25</v>
      </c>
      <c r="J17" s="3" t="s">
        <v>35</v>
      </c>
      <c r="K17" s="3" t="s">
        <v>23</v>
      </c>
      <c r="L17" s="3">
        <v>2</v>
      </c>
      <c r="M17" s="3">
        <v>2</v>
      </c>
      <c r="N17" s="4">
        <v>44481</v>
      </c>
      <c r="O17" s="54">
        <v>0.34375</v>
      </c>
      <c r="P17" s="5" t="b">
        <v>1</v>
      </c>
      <c r="Q17" s="7">
        <v>16</v>
      </c>
      <c r="R17" s="7">
        <v>1</v>
      </c>
      <c r="S17" s="7"/>
      <c r="T17" s="7"/>
      <c r="U17" s="3"/>
      <c r="AA17" s="3"/>
      <c r="AB17" s="3" t="s">
        <v>325</v>
      </c>
      <c r="AC17" s="3"/>
    </row>
    <row r="18" spans="1:32" x14ac:dyDescent="0.35">
      <c r="A18" s="3" t="str">
        <f t="shared" si="0"/>
        <v>Sto_WW_OT</v>
      </c>
      <c r="B18" s="3">
        <v>1</v>
      </c>
      <c r="C18" s="3">
        <v>4</v>
      </c>
      <c r="D18" s="3" t="s">
        <v>17</v>
      </c>
      <c r="E18" s="3">
        <v>17</v>
      </c>
      <c r="F18" s="3" t="s">
        <v>36</v>
      </c>
      <c r="G18" s="3" t="s">
        <v>19</v>
      </c>
      <c r="H18" s="3" t="s">
        <v>20</v>
      </c>
      <c r="I18" s="3" t="s">
        <v>21</v>
      </c>
      <c r="J18" s="3" t="s">
        <v>22</v>
      </c>
      <c r="K18" s="3" t="s">
        <v>23</v>
      </c>
      <c r="L18" s="3">
        <v>2</v>
      </c>
      <c r="M18" s="3">
        <v>1</v>
      </c>
      <c r="N18" s="4">
        <v>44481</v>
      </c>
      <c r="O18" s="54">
        <v>0.34375</v>
      </c>
      <c r="P18" s="5" t="b">
        <v>0</v>
      </c>
      <c r="Q18" s="7">
        <f>E18</f>
        <v>17</v>
      </c>
      <c r="R18" s="7"/>
      <c r="S18" s="7"/>
      <c r="T18" s="7"/>
      <c r="U18" s="3"/>
      <c r="AA18" s="3"/>
      <c r="AB18" s="3"/>
      <c r="AC18" t="s">
        <v>894</v>
      </c>
      <c r="AD18" t="s">
        <v>894</v>
      </c>
      <c r="AE18" t="s">
        <v>894</v>
      </c>
      <c r="AF18" t="s">
        <v>895</v>
      </c>
    </row>
    <row r="19" spans="1:32" x14ac:dyDescent="0.35">
      <c r="A19" s="3" t="str">
        <f t="shared" si="0"/>
        <v>Sto_WW_OT</v>
      </c>
      <c r="B19" s="3">
        <v>1</v>
      </c>
      <c r="C19" s="3">
        <v>4</v>
      </c>
      <c r="D19" s="3" t="s">
        <v>17</v>
      </c>
      <c r="E19" s="3">
        <v>17</v>
      </c>
      <c r="F19" s="3" t="s">
        <v>36</v>
      </c>
      <c r="G19" s="3" t="s">
        <v>19</v>
      </c>
      <c r="H19" s="3" t="s">
        <v>20</v>
      </c>
      <c r="I19" s="3" t="s">
        <v>21</v>
      </c>
      <c r="J19" s="3" t="s">
        <v>35</v>
      </c>
      <c r="K19" s="3" t="s">
        <v>23</v>
      </c>
      <c r="L19" s="3">
        <v>2</v>
      </c>
      <c r="M19" s="3">
        <v>1</v>
      </c>
      <c r="N19" s="4">
        <v>44481</v>
      </c>
      <c r="O19" s="54">
        <v>0.34375</v>
      </c>
      <c r="P19" s="5" t="b">
        <v>1</v>
      </c>
      <c r="Q19" s="7">
        <v>18</v>
      </c>
      <c r="R19" s="7">
        <v>5</v>
      </c>
      <c r="S19" s="7"/>
      <c r="T19" s="7"/>
      <c r="U19" s="3"/>
      <c r="AA19" s="3"/>
      <c r="AB19" s="3" t="s">
        <v>325</v>
      </c>
      <c r="AC19" s="3"/>
    </row>
    <row r="20" spans="1:32" x14ac:dyDescent="0.35">
      <c r="A20" s="3" t="str">
        <f t="shared" si="0"/>
        <v>Wen_WW_OT</v>
      </c>
      <c r="B20" s="3">
        <v>2</v>
      </c>
      <c r="C20" s="3">
        <v>4</v>
      </c>
      <c r="D20" s="3" t="s">
        <v>17</v>
      </c>
      <c r="E20" s="3">
        <v>19</v>
      </c>
      <c r="F20" s="3" t="s">
        <v>37</v>
      </c>
      <c r="G20" s="3" t="s">
        <v>19</v>
      </c>
      <c r="H20" s="3" t="s">
        <v>20</v>
      </c>
      <c r="I20" s="3" t="s">
        <v>25</v>
      </c>
      <c r="J20" s="3" t="s">
        <v>22</v>
      </c>
      <c r="K20" s="3" t="s">
        <v>23</v>
      </c>
      <c r="L20" s="3">
        <v>2</v>
      </c>
      <c r="M20" s="3">
        <v>1</v>
      </c>
      <c r="N20" s="4">
        <v>44481</v>
      </c>
      <c r="O20" s="54">
        <v>0.34375</v>
      </c>
      <c r="P20" s="5" t="b">
        <v>0</v>
      </c>
      <c r="Q20" s="7">
        <f>E20</f>
        <v>19</v>
      </c>
      <c r="R20" s="7"/>
      <c r="S20" s="7"/>
      <c r="T20" s="7"/>
      <c r="U20" s="3"/>
      <c r="AA20" s="3"/>
      <c r="AB20" s="3"/>
      <c r="AC20" t="s">
        <v>894</v>
      </c>
      <c r="AD20" t="s">
        <v>894</v>
      </c>
      <c r="AE20" t="s">
        <v>894</v>
      </c>
      <c r="AF20" t="s">
        <v>895</v>
      </c>
    </row>
    <row r="21" spans="1:32" x14ac:dyDescent="0.35">
      <c r="A21" s="3" t="str">
        <f t="shared" si="0"/>
        <v>Wen_WW_OT</v>
      </c>
      <c r="B21" s="3">
        <v>2</v>
      </c>
      <c r="C21" s="3">
        <v>4</v>
      </c>
      <c r="D21" s="3" t="s">
        <v>17</v>
      </c>
      <c r="E21" s="3">
        <v>19</v>
      </c>
      <c r="F21" s="3" t="s">
        <v>37</v>
      </c>
      <c r="G21" s="3" t="s">
        <v>19</v>
      </c>
      <c r="H21" s="3" t="s">
        <v>20</v>
      </c>
      <c r="I21" s="3" t="s">
        <v>25</v>
      </c>
      <c r="J21" s="3" t="s">
        <v>35</v>
      </c>
      <c r="K21" s="3" t="s">
        <v>23</v>
      </c>
      <c r="L21" s="3">
        <v>2</v>
      </c>
      <c r="M21" s="3">
        <v>1</v>
      </c>
      <c r="N21" s="4">
        <v>44481</v>
      </c>
      <c r="O21" s="54">
        <v>0.34375</v>
      </c>
      <c r="P21" s="5" t="b">
        <v>1</v>
      </c>
      <c r="Q21" s="7">
        <v>20</v>
      </c>
      <c r="R21" s="7">
        <v>4</v>
      </c>
      <c r="S21" s="7"/>
      <c r="T21" s="7"/>
      <c r="U21" s="3"/>
      <c r="Z21" t="s">
        <v>302</v>
      </c>
      <c r="AA21" s="3"/>
      <c r="AB21" s="3" t="s">
        <v>325</v>
      </c>
      <c r="AC21" s="3"/>
      <c r="AD21" s="3"/>
      <c r="AE21" s="3"/>
    </row>
    <row r="22" spans="1:32" x14ac:dyDescent="0.35">
      <c r="A22" s="3" t="str">
        <f t="shared" si="0"/>
        <v>Wen_WS_OT</v>
      </c>
      <c r="B22" s="3">
        <v>3</v>
      </c>
      <c r="C22" s="3">
        <v>4</v>
      </c>
      <c r="D22" s="3" t="s">
        <v>17</v>
      </c>
      <c r="E22" s="3">
        <v>21</v>
      </c>
      <c r="F22" s="3" t="s">
        <v>38</v>
      </c>
      <c r="G22" s="3" t="s">
        <v>19</v>
      </c>
      <c r="H22" s="3" t="s">
        <v>39</v>
      </c>
      <c r="I22" s="3" t="s">
        <v>25</v>
      </c>
      <c r="J22" s="3" t="s">
        <v>26</v>
      </c>
      <c r="K22" s="3" t="s">
        <v>27</v>
      </c>
      <c r="L22" s="3">
        <v>2</v>
      </c>
      <c r="M22" s="3">
        <v>1</v>
      </c>
      <c r="N22" s="4">
        <v>44481</v>
      </c>
      <c r="O22" s="4"/>
      <c r="P22" s="5" t="b">
        <v>0</v>
      </c>
      <c r="Q22" s="7">
        <f>E22</f>
        <v>21</v>
      </c>
      <c r="R22" s="7"/>
      <c r="S22" s="7"/>
      <c r="T22" s="7" t="s">
        <v>302</v>
      </c>
      <c r="U22" s="3"/>
      <c r="AA22" s="3"/>
      <c r="AB22" s="3" t="s">
        <v>326</v>
      </c>
      <c r="AC22" s="3" t="s">
        <v>896</v>
      </c>
      <c r="AD22" s="3" t="s">
        <v>896</v>
      </c>
      <c r="AE22" s="3" t="s">
        <v>896</v>
      </c>
      <c r="AF22" t="s">
        <v>895</v>
      </c>
    </row>
    <row r="23" spans="1:32" x14ac:dyDescent="0.35">
      <c r="A23" s="3" t="str">
        <f t="shared" si="0"/>
        <v>Wen_WS_OT</v>
      </c>
      <c r="B23" s="3">
        <v>3</v>
      </c>
      <c r="C23" s="3">
        <v>4</v>
      </c>
      <c r="D23" s="3" t="s">
        <v>17</v>
      </c>
      <c r="E23" s="3">
        <v>21</v>
      </c>
      <c r="F23" s="3" t="s">
        <v>38</v>
      </c>
      <c r="G23" s="3" t="s">
        <v>19</v>
      </c>
      <c r="H23" s="3" t="s">
        <v>39</v>
      </c>
      <c r="I23" s="3" t="s">
        <v>25</v>
      </c>
      <c r="J23" s="3" t="s">
        <v>28</v>
      </c>
      <c r="K23" s="3" t="s">
        <v>27</v>
      </c>
      <c r="L23" s="3">
        <v>2</v>
      </c>
      <c r="M23" s="3">
        <v>1</v>
      </c>
      <c r="N23" s="4">
        <v>44481</v>
      </c>
      <c r="O23" s="4"/>
      <c r="P23" s="5" t="b">
        <v>1</v>
      </c>
      <c r="Q23" s="7">
        <v>22</v>
      </c>
      <c r="R23" s="7"/>
      <c r="S23" s="7"/>
      <c r="T23" s="7"/>
      <c r="U23" s="3"/>
      <c r="Z23" t="s">
        <v>302</v>
      </c>
      <c r="AA23" s="3"/>
      <c r="AB23" s="3"/>
      <c r="AC23" s="3"/>
      <c r="AD23" s="3"/>
      <c r="AE23" s="3"/>
    </row>
    <row r="24" spans="1:32" x14ac:dyDescent="0.35">
      <c r="A24" s="3" t="str">
        <f t="shared" si="0"/>
        <v>Wen_WS_OT</v>
      </c>
      <c r="B24" s="3">
        <v>4</v>
      </c>
      <c r="C24" s="3">
        <v>4</v>
      </c>
      <c r="D24" s="3" t="s">
        <v>17</v>
      </c>
      <c r="E24" s="3">
        <v>23</v>
      </c>
      <c r="F24" s="3" t="s">
        <v>40</v>
      </c>
      <c r="G24" s="3" t="s">
        <v>19</v>
      </c>
      <c r="H24" s="3" t="s">
        <v>39</v>
      </c>
      <c r="I24" s="3" t="s">
        <v>25</v>
      </c>
      <c r="J24" s="3" t="s">
        <v>22</v>
      </c>
      <c r="K24" s="3" t="s">
        <v>23</v>
      </c>
      <c r="L24" s="3">
        <v>2</v>
      </c>
      <c r="M24" s="3">
        <v>1</v>
      </c>
      <c r="N24" s="4">
        <v>44482</v>
      </c>
      <c r="O24" s="54">
        <v>0.38541666666666669</v>
      </c>
      <c r="P24" s="5" t="b">
        <v>0</v>
      </c>
      <c r="Q24" s="7">
        <f>E24</f>
        <v>23</v>
      </c>
      <c r="R24" s="7"/>
      <c r="S24" s="7"/>
      <c r="T24" s="7"/>
      <c r="U24" s="3"/>
      <c r="AA24" s="3"/>
      <c r="AB24" s="3"/>
      <c r="AC24" t="s">
        <v>894</v>
      </c>
      <c r="AD24" t="s">
        <v>894</v>
      </c>
      <c r="AE24" t="s">
        <v>894</v>
      </c>
      <c r="AF24" t="s">
        <v>895</v>
      </c>
    </row>
    <row r="25" spans="1:32" x14ac:dyDescent="0.35">
      <c r="A25" s="3" t="str">
        <f t="shared" si="0"/>
        <v>Wen_WS_OT</v>
      </c>
      <c r="B25" s="3">
        <v>4</v>
      </c>
      <c r="C25" s="3">
        <v>4</v>
      </c>
      <c r="D25" s="3" t="s">
        <v>17</v>
      </c>
      <c r="E25" s="3">
        <v>23</v>
      </c>
      <c r="F25" s="3" t="s">
        <v>40</v>
      </c>
      <c r="G25" s="3" t="s">
        <v>19</v>
      </c>
      <c r="H25" s="3" t="s">
        <v>39</v>
      </c>
      <c r="I25" s="3" t="s">
        <v>25</v>
      </c>
      <c r="J25" s="3" t="s">
        <v>35</v>
      </c>
      <c r="K25" s="3" t="s">
        <v>23</v>
      </c>
      <c r="L25" s="3">
        <v>2</v>
      </c>
      <c r="M25" s="3">
        <v>1</v>
      </c>
      <c r="N25" s="4">
        <v>44482</v>
      </c>
      <c r="O25" s="54">
        <v>0.38541666666666669</v>
      </c>
      <c r="P25" s="5" t="b">
        <v>1</v>
      </c>
      <c r="Q25" s="7">
        <v>24</v>
      </c>
      <c r="R25" s="7">
        <v>12</v>
      </c>
      <c r="S25" s="7"/>
      <c r="T25" s="7"/>
      <c r="U25" s="3"/>
      <c r="Z25" t="s">
        <v>302</v>
      </c>
      <c r="AA25" s="3"/>
      <c r="AB25" s="3" t="s">
        <v>325</v>
      </c>
      <c r="AC25" s="3"/>
      <c r="AD25" s="3"/>
      <c r="AE25" s="3"/>
    </row>
    <row r="26" spans="1:32" x14ac:dyDescent="0.35">
      <c r="A26" s="3" t="str">
        <f t="shared" si="0"/>
        <v>Sto_WS_OT</v>
      </c>
      <c r="B26" s="3">
        <v>5</v>
      </c>
      <c r="C26" s="3">
        <v>4</v>
      </c>
      <c r="D26" s="3" t="s">
        <v>17</v>
      </c>
      <c r="E26" s="3">
        <v>25</v>
      </c>
      <c r="F26" s="3" t="s">
        <v>41</v>
      </c>
      <c r="G26" s="3" t="s">
        <v>19</v>
      </c>
      <c r="H26" s="3" t="s">
        <v>39</v>
      </c>
      <c r="I26" s="3" t="s">
        <v>21</v>
      </c>
      <c r="J26" s="3" t="s">
        <v>22</v>
      </c>
      <c r="K26" s="3" t="s">
        <v>23</v>
      </c>
      <c r="L26" s="3">
        <v>2</v>
      </c>
      <c r="M26" s="3">
        <v>1</v>
      </c>
      <c r="N26" s="4">
        <v>44481</v>
      </c>
      <c r="O26" s="54">
        <v>0.47222222222222227</v>
      </c>
      <c r="P26" s="5" t="b">
        <v>0</v>
      </c>
      <c r="Q26" s="7">
        <f>E26</f>
        <v>25</v>
      </c>
      <c r="R26" s="7"/>
      <c r="S26" s="7"/>
      <c r="T26" s="7"/>
      <c r="U26" s="3"/>
      <c r="AA26" s="3"/>
      <c r="AB26" s="3"/>
      <c r="AC26" t="s">
        <v>894</v>
      </c>
      <c r="AD26" t="s">
        <v>894</v>
      </c>
      <c r="AE26" t="s">
        <v>894</v>
      </c>
      <c r="AF26" t="s">
        <v>895</v>
      </c>
    </row>
    <row r="27" spans="1:32" x14ac:dyDescent="0.35">
      <c r="A27" s="3" t="str">
        <f t="shared" si="0"/>
        <v>Sto_WS_OT</v>
      </c>
      <c r="B27" s="3">
        <v>5</v>
      </c>
      <c r="C27" s="3">
        <v>4</v>
      </c>
      <c r="D27" s="3" t="s">
        <v>17</v>
      </c>
      <c r="E27" s="3">
        <v>25</v>
      </c>
      <c r="F27" s="3" t="s">
        <v>41</v>
      </c>
      <c r="G27" s="3" t="s">
        <v>19</v>
      </c>
      <c r="H27" s="3" t="s">
        <v>39</v>
      </c>
      <c r="I27" s="3" t="s">
        <v>21</v>
      </c>
      <c r="J27" s="3" t="s">
        <v>35</v>
      </c>
      <c r="K27" s="3" t="s">
        <v>23</v>
      </c>
      <c r="L27" s="3">
        <v>2</v>
      </c>
      <c r="M27" s="3">
        <v>1</v>
      </c>
      <c r="N27" s="4">
        <v>44481</v>
      </c>
      <c r="O27" s="54">
        <v>0.47222222222222227</v>
      </c>
      <c r="P27" s="5" t="b">
        <v>1</v>
      </c>
      <c r="Q27" s="7">
        <v>26</v>
      </c>
      <c r="R27" s="7">
        <v>13</v>
      </c>
      <c r="S27" s="7"/>
      <c r="T27" s="7"/>
      <c r="U27" s="3"/>
      <c r="Z27" t="s">
        <v>302</v>
      </c>
      <c r="AA27" s="3"/>
      <c r="AB27" s="3" t="s">
        <v>325</v>
      </c>
      <c r="AC27" s="3"/>
      <c r="AD27" s="3"/>
      <c r="AE27" s="3"/>
    </row>
    <row r="28" spans="1:32" x14ac:dyDescent="0.35">
      <c r="A28" s="3" t="str">
        <f t="shared" si="0"/>
        <v>Sto_WW_OT</v>
      </c>
      <c r="B28" s="3">
        <v>6</v>
      </c>
      <c r="C28" s="3">
        <v>4</v>
      </c>
      <c r="D28" s="3" t="s">
        <v>17</v>
      </c>
      <c r="E28" s="3">
        <v>27</v>
      </c>
      <c r="F28" s="3" t="s">
        <v>42</v>
      </c>
      <c r="G28" s="3" t="s">
        <v>19</v>
      </c>
      <c r="H28" s="3" t="s">
        <v>20</v>
      </c>
      <c r="I28" s="3" t="s">
        <v>21</v>
      </c>
      <c r="J28" s="3" t="s">
        <v>22</v>
      </c>
      <c r="K28" s="3" t="s">
        <v>23</v>
      </c>
      <c r="L28" s="3">
        <v>2</v>
      </c>
      <c r="M28" s="3">
        <v>2</v>
      </c>
      <c r="N28" s="4">
        <v>44481</v>
      </c>
      <c r="O28" s="54">
        <v>0.47222222222222227</v>
      </c>
      <c r="P28" s="5" t="b">
        <v>0</v>
      </c>
      <c r="Q28" s="7">
        <f>E28</f>
        <v>27</v>
      </c>
      <c r="R28" s="7"/>
      <c r="S28" s="7"/>
      <c r="T28" s="7"/>
      <c r="U28" s="3"/>
      <c r="AA28" s="3"/>
      <c r="AB28" s="3"/>
      <c r="AC28" t="s">
        <v>894</v>
      </c>
      <c r="AD28" t="s">
        <v>894</v>
      </c>
      <c r="AE28" t="s">
        <v>894</v>
      </c>
      <c r="AF28" t="s">
        <v>895</v>
      </c>
    </row>
    <row r="29" spans="1:32" x14ac:dyDescent="0.35">
      <c r="A29" s="3" t="str">
        <f t="shared" si="0"/>
        <v>Sto_WW_OT</v>
      </c>
      <c r="B29" s="3">
        <v>6</v>
      </c>
      <c r="C29" s="3">
        <v>4</v>
      </c>
      <c r="D29" s="3" t="s">
        <v>17</v>
      </c>
      <c r="E29" s="3">
        <v>27</v>
      </c>
      <c r="F29" s="3" t="s">
        <v>42</v>
      </c>
      <c r="G29" s="3" t="s">
        <v>19</v>
      </c>
      <c r="H29" s="3" t="s">
        <v>20</v>
      </c>
      <c r="I29" s="3" t="s">
        <v>21</v>
      </c>
      <c r="J29" s="3" t="s">
        <v>35</v>
      </c>
      <c r="K29" s="3" t="s">
        <v>23</v>
      </c>
      <c r="L29" s="3">
        <v>2</v>
      </c>
      <c r="M29" s="3">
        <v>2</v>
      </c>
      <c r="N29" s="4">
        <v>44481</v>
      </c>
      <c r="O29" s="54">
        <v>0.47222222222222227</v>
      </c>
      <c r="P29" s="5" t="b">
        <v>1</v>
      </c>
      <c r="Q29" s="7">
        <v>28</v>
      </c>
      <c r="R29" s="7">
        <v>7</v>
      </c>
      <c r="S29" s="7"/>
      <c r="T29" s="7"/>
      <c r="U29" s="3"/>
      <c r="Z29" t="s">
        <v>302</v>
      </c>
      <c r="AA29" s="3" t="s">
        <v>320</v>
      </c>
      <c r="AB29" s="3" t="s">
        <v>325</v>
      </c>
      <c r="AC29" s="3"/>
      <c r="AD29" s="3"/>
      <c r="AE29" s="3"/>
    </row>
    <row r="30" spans="1:32" x14ac:dyDescent="0.35">
      <c r="A30" s="3" t="str">
        <f t="shared" si="0"/>
        <v>Wen_WW_OT</v>
      </c>
      <c r="B30" s="3">
        <v>7</v>
      </c>
      <c r="C30" s="3">
        <v>4</v>
      </c>
      <c r="D30" s="3" t="s">
        <v>17</v>
      </c>
      <c r="E30" s="3">
        <v>29</v>
      </c>
      <c r="F30" s="3" t="s">
        <v>43</v>
      </c>
      <c r="G30" s="3" t="s">
        <v>19</v>
      </c>
      <c r="H30" s="3" t="s">
        <v>20</v>
      </c>
      <c r="I30" s="3" t="s">
        <v>25</v>
      </c>
      <c r="J30" s="3" t="s">
        <v>22</v>
      </c>
      <c r="K30" s="3" t="s">
        <v>23</v>
      </c>
      <c r="L30" s="3">
        <v>2</v>
      </c>
      <c r="M30" s="3">
        <v>2</v>
      </c>
      <c r="N30" s="4">
        <v>44481</v>
      </c>
      <c r="O30" s="54">
        <v>0.47222222222222227</v>
      </c>
      <c r="P30" s="5" t="b">
        <v>0</v>
      </c>
      <c r="Q30" s="7">
        <f>E30</f>
        <v>29</v>
      </c>
      <c r="R30" s="7"/>
      <c r="S30" s="7"/>
      <c r="T30" s="7"/>
      <c r="U30" s="3"/>
      <c r="Y30" t="s">
        <v>302</v>
      </c>
      <c r="AA30" s="3"/>
      <c r="AB30" s="3"/>
      <c r="AC30" t="s">
        <v>894</v>
      </c>
      <c r="AD30" t="s">
        <v>894</v>
      </c>
      <c r="AE30" t="s">
        <v>894</v>
      </c>
      <c r="AF30" t="s">
        <v>895</v>
      </c>
    </row>
    <row r="31" spans="1:32" x14ac:dyDescent="0.35">
      <c r="A31" s="3" t="str">
        <f t="shared" si="0"/>
        <v>Wen_WW_OT</v>
      </c>
      <c r="B31" s="3">
        <v>7</v>
      </c>
      <c r="C31" s="3">
        <v>4</v>
      </c>
      <c r="D31" s="3" t="s">
        <v>17</v>
      </c>
      <c r="E31" s="3">
        <v>29</v>
      </c>
      <c r="F31" s="3" t="s">
        <v>43</v>
      </c>
      <c r="G31" s="3" t="s">
        <v>19</v>
      </c>
      <c r="H31" s="3" t="s">
        <v>20</v>
      </c>
      <c r="I31" s="3" t="s">
        <v>25</v>
      </c>
      <c r="J31" s="3" t="s">
        <v>35</v>
      </c>
      <c r="K31" s="3" t="s">
        <v>23</v>
      </c>
      <c r="L31" s="3">
        <v>2</v>
      </c>
      <c r="M31" s="3">
        <v>2</v>
      </c>
      <c r="N31" s="4">
        <v>44481</v>
      </c>
      <c r="O31" s="54">
        <v>0.47222222222222227</v>
      </c>
      <c r="P31" s="5" t="b">
        <v>1</v>
      </c>
      <c r="Q31" s="7">
        <v>30</v>
      </c>
      <c r="R31" s="7">
        <v>2</v>
      </c>
      <c r="S31" s="7"/>
      <c r="T31" s="7"/>
      <c r="U31" s="3"/>
      <c r="AA31" s="3"/>
      <c r="AB31" s="3" t="s">
        <v>325</v>
      </c>
      <c r="AC31" s="3"/>
      <c r="AD31" s="3"/>
      <c r="AE31" s="3"/>
    </row>
    <row r="32" spans="1:32" x14ac:dyDescent="0.35">
      <c r="A32" s="3" t="str">
        <f t="shared" si="0"/>
        <v>Sto_WW_OT</v>
      </c>
      <c r="B32" s="3">
        <v>8</v>
      </c>
      <c r="C32" s="3">
        <v>4</v>
      </c>
      <c r="D32" s="3" t="s">
        <v>17</v>
      </c>
      <c r="E32" s="3">
        <v>31</v>
      </c>
      <c r="F32" s="3" t="s">
        <v>44</v>
      </c>
      <c r="G32" s="3" t="s">
        <v>19</v>
      </c>
      <c r="H32" s="3" t="s">
        <v>20</v>
      </c>
      <c r="I32" s="3" t="s">
        <v>21</v>
      </c>
      <c r="J32" s="3" t="s">
        <v>26</v>
      </c>
      <c r="K32" s="3" t="s">
        <v>27</v>
      </c>
      <c r="L32" s="3">
        <v>2</v>
      </c>
      <c r="M32" s="3">
        <v>1</v>
      </c>
      <c r="N32" s="4">
        <v>44481</v>
      </c>
      <c r="O32" s="4"/>
      <c r="P32" s="5" t="b">
        <v>0</v>
      </c>
      <c r="Q32" s="7">
        <f>E32</f>
        <v>31</v>
      </c>
      <c r="R32" s="7"/>
      <c r="S32" s="7"/>
      <c r="T32" s="7" t="s">
        <v>302</v>
      </c>
      <c r="U32" s="3"/>
      <c r="AA32" s="3"/>
      <c r="AB32" s="3" t="s">
        <v>326</v>
      </c>
      <c r="AC32" s="3" t="s">
        <v>896</v>
      </c>
      <c r="AD32" s="3" t="s">
        <v>896</v>
      </c>
      <c r="AE32" s="3" t="s">
        <v>896</v>
      </c>
    </row>
    <row r="33" spans="1:32" x14ac:dyDescent="0.35">
      <c r="A33" s="3" t="str">
        <f t="shared" si="0"/>
        <v>Sto_WW_OT</v>
      </c>
      <c r="B33" s="3">
        <v>8</v>
      </c>
      <c r="C33" s="3">
        <v>4</v>
      </c>
      <c r="D33" s="3" t="s">
        <v>17</v>
      </c>
      <c r="E33" s="3">
        <v>31</v>
      </c>
      <c r="F33" s="3" t="s">
        <v>44</v>
      </c>
      <c r="G33" s="3" t="s">
        <v>19</v>
      </c>
      <c r="H33" s="3" t="s">
        <v>20</v>
      </c>
      <c r="I33" s="3" t="s">
        <v>21</v>
      </c>
      <c r="J33" s="3" t="s">
        <v>28</v>
      </c>
      <c r="K33" s="3" t="s">
        <v>27</v>
      </c>
      <c r="L33" s="3">
        <v>2</v>
      </c>
      <c r="M33" s="3">
        <v>1</v>
      </c>
      <c r="N33" s="4">
        <v>44481</v>
      </c>
      <c r="O33" s="4"/>
      <c r="P33" s="5" t="b">
        <v>1</v>
      </c>
      <c r="Q33" s="7">
        <v>32</v>
      </c>
      <c r="R33" s="7"/>
      <c r="S33" s="7"/>
      <c r="T33" s="7"/>
      <c r="U33" s="3"/>
      <c r="Z33" t="s">
        <v>302</v>
      </c>
      <c r="AA33" s="3"/>
      <c r="AB33" s="3"/>
      <c r="AC33" s="3"/>
      <c r="AD33" s="3"/>
      <c r="AE33" s="3"/>
    </row>
    <row r="34" spans="1:32" x14ac:dyDescent="0.35">
      <c r="A34" s="3" t="str">
        <f t="shared" si="0"/>
        <v>Wen_WS_OT</v>
      </c>
      <c r="B34" s="3">
        <v>9</v>
      </c>
      <c r="C34" s="3">
        <v>4</v>
      </c>
      <c r="D34" s="3" t="s">
        <v>17</v>
      </c>
      <c r="E34" s="3">
        <v>33</v>
      </c>
      <c r="F34" s="3" t="s">
        <v>45</v>
      </c>
      <c r="G34" s="3" t="s">
        <v>19</v>
      </c>
      <c r="H34" s="3" t="s">
        <v>39</v>
      </c>
      <c r="I34" s="3" t="s">
        <v>25</v>
      </c>
      <c r="J34" s="3" t="s">
        <v>22</v>
      </c>
      <c r="K34" s="3" t="s">
        <v>23</v>
      </c>
      <c r="L34" s="3">
        <v>2</v>
      </c>
      <c r="M34" s="3">
        <v>2</v>
      </c>
      <c r="N34" s="4">
        <v>44481</v>
      </c>
      <c r="O34" s="54">
        <v>0.47222222222222227</v>
      </c>
      <c r="P34" s="5" t="b">
        <v>0</v>
      </c>
      <c r="Q34" s="7">
        <f>E34</f>
        <v>33</v>
      </c>
      <c r="R34" s="7"/>
      <c r="S34" s="7"/>
      <c r="T34" s="7"/>
      <c r="U34" s="3"/>
      <c r="AA34" s="3"/>
      <c r="AB34" s="3"/>
      <c r="AC34" t="s">
        <v>894</v>
      </c>
      <c r="AD34" t="s">
        <v>894</v>
      </c>
      <c r="AE34" t="s">
        <v>894</v>
      </c>
      <c r="AF34" t="s">
        <v>895</v>
      </c>
    </row>
    <row r="35" spans="1:32" x14ac:dyDescent="0.35">
      <c r="A35" s="3" t="str">
        <f t="shared" si="0"/>
        <v>Wen_WS_OT</v>
      </c>
      <c r="B35" s="3">
        <v>9</v>
      </c>
      <c r="C35" s="3">
        <v>4</v>
      </c>
      <c r="D35" s="3" t="s">
        <v>17</v>
      </c>
      <c r="E35" s="3">
        <v>33</v>
      </c>
      <c r="F35" s="3" t="s">
        <v>45</v>
      </c>
      <c r="G35" s="3" t="s">
        <v>19</v>
      </c>
      <c r="H35" s="3" t="s">
        <v>39</v>
      </c>
      <c r="I35" s="3" t="s">
        <v>25</v>
      </c>
      <c r="J35" s="3" t="s">
        <v>35</v>
      </c>
      <c r="K35" s="3" t="s">
        <v>23</v>
      </c>
      <c r="L35" s="3">
        <v>2</v>
      </c>
      <c r="M35" s="3">
        <v>2</v>
      </c>
      <c r="N35" s="4">
        <v>44481</v>
      </c>
      <c r="O35" s="54">
        <v>0.47222222222222227</v>
      </c>
      <c r="P35" s="5" t="b">
        <v>1</v>
      </c>
      <c r="Q35" s="7">
        <v>34</v>
      </c>
      <c r="R35" s="7">
        <v>10</v>
      </c>
      <c r="S35" s="7"/>
      <c r="T35" s="7"/>
      <c r="U35" s="3"/>
      <c r="Z35" t="s">
        <v>302</v>
      </c>
      <c r="AA35" s="3"/>
      <c r="AB35" s="3" t="s">
        <v>325</v>
      </c>
      <c r="AC35" s="3"/>
      <c r="AD35" s="3"/>
      <c r="AE35" s="3"/>
    </row>
    <row r="36" spans="1:32" x14ac:dyDescent="0.35">
      <c r="A36" s="3" t="str">
        <f t="shared" si="0"/>
        <v>Wen_WW_OT</v>
      </c>
      <c r="B36" s="3">
        <v>10</v>
      </c>
      <c r="C36" s="3">
        <v>4</v>
      </c>
      <c r="D36" s="3" t="s">
        <v>17</v>
      </c>
      <c r="E36" s="3">
        <v>35</v>
      </c>
      <c r="F36" s="3" t="s">
        <v>46</v>
      </c>
      <c r="G36" s="3" t="s">
        <v>19</v>
      </c>
      <c r="H36" s="3" t="s">
        <v>20</v>
      </c>
      <c r="I36" s="3" t="s">
        <v>25</v>
      </c>
      <c r="J36" s="3" t="s">
        <v>26</v>
      </c>
      <c r="K36" s="3" t="s">
        <v>27</v>
      </c>
      <c r="L36" s="3">
        <v>2</v>
      </c>
      <c r="M36" s="3">
        <v>1</v>
      </c>
      <c r="N36" s="4">
        <v>44481</v>
      </c>
      <c r="O36" s="4"/>
      <c r="P36" s="5" t="b">
        <v>0</v>
      </c>
      <c r="Q36" s="7">
        <f>E36</f>
        <v>35</v>
      </c>
      <c r="R36" s="7"/>
      <c r="S36" s="7"/>
      <c r="T36" s="7" t="s">
        <v>302</v>
      </c>
      <c r="U36" s="3"/>
      <c r="AA36" s="3"/>
      <c r="AB36" s="3" t="s">
        <v>326</v>
      </c>
      <c r="AC36" s="3" t="s">
        <v>896</v>
      </c>
      <c r="AD36" s="3" t="s">
        <v>896</v>
      </c>
      <c r="AE36" s="3" t="s">
        <v>896</v>
      </c>
    </row>
    <row r="37" spans="1:32" x14ac:dyDescent="0.35">
      <c r="A37" s="3" t="str">
        <f t="shared" si="0"/>
        <v>Wen_WW_OT</v>
      </c>
      <c r="B37" s="3">
        <v>10</v>
      </c>
      <c r="C37" s="3">
        <v>4</v>
      </c>
      <c r="D37" s="3" t="s">
        <v>17</v>
      </c>
      <c r="E37" s="3">
        <v>35</v>
      </c>
      <c r="F37" s="3" t="s">
        <v>46</v>
      </c>
      <c r="G37" s="3" t="s">
        <v>19</v>
      </c>
      <c r="H37" s="3" t="s">
        <v>20</v>
      </c>
      <c r="I37" s="3" t="s">
        <v>25</v>
      </c>
      <c r="J37" s="3" t="s">
        <v>28</v>
      </c>
      <c r="K37" s="3" t="s">
        <v>27</v>
      </c>
      <c r="L37" s="3">
        <v>2</v>
      </c>
      <c r="M37" s="3">
        <v>1</v>
      </c>
      <c r="N37" s="4">
        <v>44481</v>
      </c>
      <c r="O37" s="4"/>
      <c r="P37" s="5" t="b">
        <v>1</v>
      </c>
      <c r="Q37" s="7">
        <v>36</v>
      </c>
      <c r="R37" s="7"/>
      <c r="S37" s="7"/>
      <c r="T37" s="7"/>
      <c r="U37" s="3"/>
      <c r="Z37" t="s">
        <v>302</v>
      </c>
      <c r="AA37" s="3"/>
      <c r="AB37" s="3"/>
      <c r="AC37" s="3"/>
      <c r="AD37" s="3"/>
      <c r="AE37" s="3"/>
    </row>
    <row r="38" spans="1:32" x14ac:dyDescent="0.35">
      <c r="A38" s="3" t="str">
        <f t="shared" si="0"/>
        <v>Sto_WS_OT</v>
      </c>
      <c r="B38" s="3">
        <v>11</v>
      </c>
      <c r="C38" s="3">
        <v>4</v>
      </c>
      <c r="D38" s="3" t="s">
        <v>17</v>
      </c>
      <c r="E38" s="3">
        <v>37</v>
      </c>
      <c r="F38" s="3" t="s">
        <v>47</v>
      </c>
      <c r="G38" s="3" t="s">
        <v>19</v>
      </c>
      <c r="H38" s="3" t="s">
        <v>39</v>
      </c>
      <c r="I38" s="3" t="s">
        <v>21</v>
      </c>
      <c r="J38" s="3" t="s">
        <v>22</v>
      </c>
      <c r="K38" s="3" t="s">
        <v>23</v>
      </c>
      <c r="L38" s="3">
        <v>2</v>
      </c>
      <c r="M38" s="3">
        <v>2</v>
      </c>
      <c r="N38" s="4">
        <v>44481</v>
      </c>
      <c r="O38" s="54">
        <v>0.47222222222222227</v>
      </c>
      <c r="P38" s="5" t="b">
        <v>0</v>
      </c>
      <c r="Q38" s="7">
        <f>E38</f>
        <v>37</v>
      </c>
      <c r="R38" s="7"/>
      <c r="S38" s="7"/>
      <c r="T38" s="7"/>
      <c r="U38" s="3"/>
      <c r="AA38" s="3"/>
      <c r="AB38" s="3"/>
      <c r="AC38" t="s">
        <v>894</v>
      </c>
      <c r="AD38" t="s">
        <v>894</v>
      </c>
      <c r="AE38" t="s">
        <v>894</v>
      </c>
      <c r="AF38" t="s">
        <v>895</v>
      </c>
    </row>
    <row r="39" spans="1:32" x14ac:dyDescent="0.35">
      <c r="A39" s="3" t="str">
        <f t="shared" si="0"/>
        <v>Sto_WS_OT</v>
      </c>
      <c r="B39" s="3">
        <v>11</v>
      </c>
      <c r="C39" s="3">
        <v>4</v>
      </c>
      <c r="D39" s="3" t="s">
        <v>17</v>
      </c>
      <c r="E39" s="3">
        <v>37</v>
      </c>
      <c r="F39" s="3" t="s">
        <v>47</v>
      </c>
      <c r="G39" s="3" t="s">
        <v>19</v>
      </c>
      <c r="H39" s="3" t="s">
        <v>39</v>
      </c>
      <c r="I39" s="3" t="s">
        <v>21</v>
      </c>
      <c r="J39" s="3" t="s">
        <v>35</v>
      </c>
      <c r="K39" s="3" t="s">
        <v>23</v>
      </c>
      <c r="L39" s="3">
        <v>2</v>
      </c>
      <c r="M39" s="3">
        <v>2</v>
      </c>
      <c r="N39" s="4">
        <v>44481</v>
      </c>
      <c r="O39" s="54">
        <v>0.47222222222222227</v>
      </c>
      <c r="P39" s="5" t="b">
        <v>1</v>
      </c>
      <c r="Q39" s="7">
        <v>38</v>
      </c>
      <c r="R39" s="7">
        <v>14</v>
      </c>
      <c r="S39" s="7"/>
      <c r="T39" s="7"/>
      <c r="U39" s="3"/>
      <c r="Z39" t="s">
        <v>302</v>
      </c>
      <c r="AA39" s="3"/>
      <c r="AB39" s="3" t="s">
        <v>325</v>
      </c>
      <c r="AC39" s="3"/>
      <c r="AD39" s="3"/>
      <c r="AE39" s="3"/>
    </row>
    <row r="40" spans="1:32" x14ac:dyDescent="0.35">
      <c r="A40" s="3" t="str">
        <f t="shared" si="0"/>
        <v>Sto_WW_OT</v>
      </c>
      <c r="B40" s="3">
        <v>12</v>
      </c>
      <c r="C40" s="3">
        <v>4</v>
      </c>
      <c r="D40" s="3" t="s">
        <v>17</v>
      </c>
      <c r="E40" s="3">
        <v>39</v>
      </c>
      <c r="F40" s="3" t="s">
        <v>48</v>
      </c>
      <c r="G40" s="3" t="s">
        <v>19</v>
      </c>
      <c r="H40" s="3" t="s">
        <v>20</v>
      </c>
      <c r="I40" s="3" t="s">
        <v>21</v>
      </c>
      <c r="J40" s="3" t="s">
        <v>22</v>
      </c>
      <c r="K40" s="3" t="s">
        <v>23</v>
      </c>
      <c r="L40" s="3">
        <v>2</v>
      </c>
      <c r="M40" s="3">
        <v>3</v>
      </c>
      <c r="N40" s="4">
        <v>44481</v>
      </c>
      <c r="O40" s="54">
        <v>0.47222222222222227</v>
      </c>
      <c r="P40" s="5" t="b">
        <v>0</v>
      </c>
      <c r="Q40" s="7">
        <f>E40</f>
        <v>39</v>
      </c>
      <c r="R40" s="7"/>
      <c r="S40" s="7"/>
      <c r="T40" s="7"/>
      <c r="U40" s="3"/>
      <c r="AA40" s="3"/>
      <c r="AB40" s="3"/>
      <c r="AC40" t="s">
        <v>894</v>
      </c>
      <c r="AD40" t="s">
        <v>894</v>
      </c>
      <c r="AE40" t="s">
        <v>894</v>
      </c>
      <c r="AF40" t="s">
        <v>895</v>
      </c>
    </row>
    <row r="41" spans="1:32" x14ac:dyDescent="0.35">
      <c r="A41" s="3" t="str">
        <f t="shared" si="0"/>
        <v>Sto_WW_OT</v>
      </c>
      <c r="B41" s="3">
        <v>12</v>
      </c>
      <c r="C41" s="3">
        <v>4</v>
      </c>
      <c r="D41" s="3" t="s">
        <v>17</v>
      </c>
      <c r="E41" s="3">
        <v>39</v>
      </c>
      <c r="F41" s="3" t="s">
        <v>48</v>
      </c>
      <c r="G41" s="3" t="s">
        <v>19</v>
      </c>
      <c r="H41" s="3" t="s">
        <v>20</v>
      </c>
      <c r="I41" s="3" t="s">
        <v>21</v>
      </c>
      <c r="J41" s="3" t="s">
        <v>35</v>
      </c>
      <c r="K41" s="3" t="s">
        <v>23</v>
      </c>
      <c r="L41" s="3">
        <v>2</v>
      </c>
      <c r="M41" s="3">
        <v>3</v>
      </c>
      <c r="N41" s="4">
        <v>44481</v>
      </c>
      <c r="O41" s="54">
        <v>0.47222222222222227</v>
      </c>
      <c r="P41" s="5" t="b">
        <v>1</v>
      </c>
      <c r="Q41" s="7">
        <v>40</v>
      </c>
      <c r="R41" s="7">
        <v>8</v>
      </c>
      <c r="S41" s="7"/>
      <c r="T41" s="7"/>
      <c r="U41" s="3"/>
      <c r="Z41" t="s">
        <v>302</v>
      </c>
      <c r="AA41" s="3"/>
      <c r="AB41" s="3" t="s">
        <v>325</v>
      </c>
      <c r="AC41" s="3"/>
      <c r="AD41" s="3"/>
      <c r="AE41" s="3"/>
    </row>
    <row r="42" spans="1:32" x14ac:dyDescent="0.35">
      <c r="A42" s="3" t="str">
        <f t="shared" si="0"/>
        <v>Sto_WS_OT</v>
      </c>
      <c r="B42" s="3">
        <v>13</v>
      </c>
      <c r="C42" s="3">
        <v>4</v>
      </c>
      <c r="D42" s="3" t="s">
        <v>17</v>
      </c>
      <c r="E42" s="3">
        <v>41</v>
      </c>
      <c r="F42" s="3" t="s">
        <v>49</v>
      </c>
      <c r="G42" s="3" t="s">
        <v>19</v>
      </c>
      <c r="H42" s="3" t="s">
        <v>39</v>
      </c>
      <c r="I42" s="3" t="s">
        <v>21</v>
      </c>
      <c r="J42" s="3" t="s">
        <v>22</v>
      </c>
      <c r="K42" s="3" t="s">
        <v>23</v>
      </c>
      <c r="L42" s="3">
        <v>2</v>
      </c>
      <c r="M42" s="3">
        <v>3</v>
      </c>
      <c r="N42" s="4">
        <v>44481</v>
      </c>
      <c r="O42" s="54">
        <v>0.47222222222222227</v>
      </c>
      <c r="P42" s="5" t="b">
        <v>0</v>
      </c>
      <c r="Q42" s="7">
        <f>E42</f>
        <v>41</v>
      </c>
      <c r="R42" s="7"/>
      <c r="S42" s="7"/>
      <c r="T42" s="7"/>
      <c r="U42" s="3"/>
      <c r="AA42" s="3"/>
      <c r="AB42" s="3"/>
      <c r="AC42" t="s">
        <v>894</v>
      </c>
      <c r="AD42" t="s">
        <v>894</v>
      </c>
      <c r="AE42" t="s">
        <v>894</v>
      </c>
      <c r="AF42" t="s">
        <v>895</v>
      </c>
    </row>
    <row r="43" spans="1:32" x14ac:dyDescent="0.35">
      <c r="A43" s="3" t="str">
        <f t="shared" si="0"/>
        <v>Sto_WS_OT</v>
      </c>
      <c r="B43" s="3">
        <v>13</v>
      </c>
      <c r="C43" s="3">
        <v>4</v>
      </c>
      <c r="D43" s="3" t="s">
        <v>17</v>
      </c>
      <c r="E43" s="3">
        <v>41</v>
      </c>
      <c r="F43" s="3" t="s">
        <v>49</v>
      </c>
      <c r="G43" s="3" t="s">
        <v>19</v>
      </c>
      <c r="H43" s="3" t="s">
        <v>39</v>
      </c>
      <c r="I43" s="3" t="s">
        <v>21</v>
      </c>
      <c r="J43" s="3" t="s">
        <v>35</v>
      </c>
      <c r="K43" s="3" t="s">
        <v>23</v>
      </c>
      <c r="L43" s="3">
        <v>2</v>
      </c>
      <c r="M43" s="3">
        <v>3</v>
      </c>
      <c r="N43" s="4">
        <v>44481</v>
      </c>
      <c r="O43" s="54">
        <v>0.47222222222222227</v>
      </c>
      <c r="P43" s="5" t="b">
        <v>1</v>
      </c>
      <c r="Q43" s="7">
        <v>42</v>
      </c>
      <c r="R43" s="7">
        <v>15</v>
      </c>
      <c r="S43" s="7"/>
      <c r="T43" s="7"/>
      <c r="U43" s="3"/>
      <c r="AA43" s="3"/>
      <c r="AB43" s="3" t="s">
        <v>325</v>
      </c>
      <c r="AC43" s="3"/>
      <c r="AD43" s="3"/>
      <c r="AE43" s="3"/>
    </row>
    <row r="44" spans="1:32" x14ac:dyDescent="0.35">
      <c r="A44" s="3" t="str">
        <f t="shared" si="0"/>
        <v>Wen_WW_OT</v>
      </c>
      <c r="B44" s="3">
        <v>14</v>
      </c>
      <c r="C44" s="3">
        <v>4</v>
      </c>
      <c r="D44" s="3" t="s">
        <v>17</v>
      </c>
      <c r="E44" s="3">
        <v>43</v>
      </c>
      <c r="F44" s="3" t="s">
        <v>50</v>
      </c>
      <c r="G44" s="3" t="s">
        <v>19</v>
      </c>
      <c r="H44" s="3" t="s">
        <v>20</v>
      </c>
      <c r="I44" s="3" t="s">
        <v>25</v>
      </c>
      <c r="J44" s="3" t="s">
        <v>26</v>
      </c>
      <c r="K44" s="3" t="s">
        <v>23</v>
      </c>
      <c r="L44" s="3">
        <v>2</v>
      </c>
      <c r="M44" s="3">
        <v>3</v>
      </c>
      <c r="N44" s="4">
        <v>44483</v>
      </c>
      <c r="O44" s="4"/>
      <c r="P44" s="5" t="b">
        <v>0</v>
      </c>
      <c r="Q44" s="7">
        <f>E44</f>
        <v>43</v>
      </c>
      <c r="R44" s="7"/>
      <c r="S44" s="7"/>
      <c r="T44" s="7" t="s">
        <v>302</v>
      </c>
      <c r="U44" s="3" t="s">
        <v>51</v>
      </c>
      <c r="V44" t="s">
        <v>302</v>
      </c>
      <c r="AA44" s="3" t="s">
        <v>209</v>
      </c>
      <c r="AB44" s="3" t="s">
        <v>326</v>
      </c>
      <c r="AC44" s="3" t="s">
        <v>896</v>
      </c>
      <c r="AD44" s="3" t="s">
        <v>896</v>
      </c>
      <c r="AE44" s="3" t="s">
        <v>896</v>
      </c>
    </row>
    <row r="45" spans="1:32" x14ac:dyDescent="0.35">
      <c r="A45" s="3" t="str">
        <f t="shared" si="0"/>
        <v>Wen_WW_OT</v>
      </c>
      <c r="B45" s="3">
        <v>14</v>
      </c>
      <c r="C45" s="3">
        <v>4</v>
      </c>
      <c r="D45" s="3" t="s">
        <v>17</v>
      </c>
      <c r="E45" s="3">
        <v>43</v>
      </c>
      <c r="F45" s="3" t="s">
        <v>50</v>
      </c>
      <c r="G45" s="3" t="s">
        <v>19</v>
      </c>
      <c r="H45" s="3" t="s">
        <v>20</v>
      </c>
      <c r="I45" s="3" t="s">
        <v>25</v>
      </c>
      <c r="J45" s="3"/>
      <c r="K45" s="3" t="s">
        <v>23</v>
      </c>
      <c r="L45" s="3"/>
      <c r="M45" s="3">
        <v>3</v>
      </c>
      <c r="N45" s="4"/>
      <c r="O45" s="4"/>
      <c r="P45" s="5" t="b">
        <v>1</v>
      </c>
      <c r="Q45" s="7">
        <v>44</v>
      </c>
      <c r="R45" s="7"/>
      <c r="S45" s="7"/>
      <c r="T45" s="7"/>
      <c r="U45" s="3" t="s">
        <v>52</v>
      </c>
      <c r="V45" t="s">
        <v>302</v>
      </c>
      <c r="W45" s="7" t="s">
        <v>302</v>
      </c>
      <c r="AA45" s="3" t="s">
        <v>218</v>
      </c>
      <c r="AB45" s="3"/>
      <c r="AC45" s="3"/>
      <c r="AD45" s="3"/>
      <c r="AE45" s="3"/>
    </row>
    <row r="46" spans="1:32" x14ac:dyDescent="0.35">
      <c r="A46" s="3" t="str">
        <f t="shared" si="0"/>
        <v>Sto_WS_OT</v>
      </c>
      <c r="B46" s="3">
        <v>15</v>
      </c>
      <c r="C46" s="3">
        <v>4</v>
      </c>
      <c r="D46" s="3" t="s">
        <v>17</v>
      </c>
      <c r="E46" s="3">
        <v>45</v>
      </c>
      <c r="F46" s="3" t="s">
        <v>53</v>
      </c>
      <c r="G46" s="3" t="s">
        <v>19</v>
      </c>
      <c r="H46" s="3" t="s">
        <v>39</v>
      </c>
      <c r="I46" s="3" t="s">
        <v>21</v>
      </c>
      <c r="J46" s="3"/>
      <c r="K46" s="3"/>
      <c r="L46" s="3"/>
      <c r="M46" s="3">
        <v>1</v>
      </c>
      <c r="N46" s="4"/>
      <c r="O46" s="4"/>
      <c r="P46" s="5" t="b">
        <v>0</v>
      </c>
      <c r="Q46" s="7">
        <f>E46</f>
        <v>45</v>
      </c>
      <c r="R46" s="7"/>
      <c r="S46" s="7"/>
      <c r="T46" s="7"/>
      <c r="U46" s="3" t="s">
        <v>54</v>
      </c>
      <c r="AA46" s="3" t="s">
        <v>277</v>
      </c>
      <c r="AB46" s="3"/>
      <c r="AC46" s="3"/>
      <c r="AD46" s="3"/>
      <c r="AE46" s="3"/>
      <c r="AF46" t="s">
        <v>895</v>
      </c>
    </row>
    <row r="47" spans="1:32" x14ac:dyDescent="0.35">
      <c r="A47" s="3" t="str">
        <f t="shared" si="0"/>
        <v>Sto_WS_OT</v>
      </c>
      <c r="B47" s="3">
        <v>15</v>
      </c>
      <c r="C47" s="3">
        <v>4</v>
      </c>
      <c r="D47" s="3" t="s">
        <v>17</v>
      </c>
      <c r="E47" s="3">
        <v>45</v>
      </c>
      <c r="F47" s="3" t="s">
        <v>53</v>
      </c>
      <c r="G47" s="3" t="s">
        <v>19</v>
      </c>
      <c r="H47" s="3" t="s">
        <v>39</v>
      </c>
      <c r="I47" s="3" t="s">
        <v>21</v>
      </c>
      <c r="J47" s="3" t="s">
        <v>35</v>
      </c>
      <c r="K47" s="3"/>
      <c r="L47" s="3">
        <v>2</v>
      </c>
      <c r="M47" s="3">
        <v>1</v>
      </c>
      <c r="N47" s="4">
        <v>44483</v>
      </c>
      <c r="O47" s="54">
        <v>0.72916666666666663</v>
      </c>
      <c r="P47" s="5" t="b">
        <v>1</v>
      </c>
      <c r="Q47" s="7">
        <v>46</v>
      </c>
      <c r="R47" s="7"/>
      <c r="S47" s="7"/>
      <c r="T47" s="7"/>
      <c r="U47" s="3" t="s">
        <v>55</v>
      </c>
      <c r="AA47" s="3" t="s">
        <v>276</v>
      </c>
      <c r="AB47" s="3"/>
      <c r="AC47" s="3"/>
      <c r="AD47" s="3"/>
      <c r="AE47" s="3"/>
    </row>
    <row r="48" spans="1:32" x14ac:dyDescent="0.35">
      <c r="A48" s="3" t="str">
        <f t="shared" si="0"/>
        <v>Wen_WS_OT</v>
      </c>
      <c r="B48" s="3">
        <v>16</v>
      </c>
      <c r="C48" s="3">
        <v>4</v>
      </c>
      <c r="D48" s="3" t="s">
        <v>17</v>
      </c>
      <c r="E48" s="3">
        <v>47</v>
      </c>
      <c r="F48" s="3" t="s">
        <v>56</v>
      </c>
      <c r="G48" s="3" t="s">
        <v>19</v>
      </c>
      <c r="H48" s="3" t="s">
        <v>39</v>
      </c>
      <c r="I48" s="3" t="s">
        <v>25</v>
      </c>
      <c r="J48" s="3" t="s">
        <v>22</v>
      </c>
      <c r="K48" s="3" t="s">
        <v>23</v>
      </c>
      <c r="L48" s="3">
        <v>2</v>
      </c>
      <c r="M48" s="3">
        <v>3</v>
      </c>
      <c r="N48" s="4">
        <v>44482</v>
      </c>
      <c r="O48" s="54">
        <v>0.38541666666666669</v>
      </c>
      <c r="P48" s="5" t="b">
        <v>0</v>
      </c>
      <c r="Q48" s="7">
        <f>E48</f>
        <v>47</v>
      </c>
      <c r="R48" s="7"/>
      <c r="S48" s="7"/>
      <c r="T48" s="7"/>
      <c r="U48" s="3"/>
      <c r="AA48" s="3"/>
      <c r="AB48" s="3"/>
      <c r="AC48" t="s">
        <v>894</v>
      </c>
      <c r="AD48" t="s">
        <v>894</v>
      </c>
      <c r="AE48" t="s">
        <v>894</v>
      </c>
      <c r="AF48" t="s">
        <v>895</v>
      </c>
    </row>
    <row r="49" spans="1:32" x14ac:dyDescent="0.35">
      <c r="A49" s="3" t="str">
        <f t="shared" si="0"/>
        <v>Wen_WS_OT</v>
      </c>
      <c r="B49" s="3">
        <v>16</v>
      </c>
      <c r="C49" s="3">
        <v>4</v>
      </c>
      <c r="D49" s="3" t="s">
        <v>17</v>
      </c>
      <c r="E49" s="3">
        <v>47</v>
      </c>
      <c r="F49" s="3" t="s">
        <v>56</v>
      </c>
      <c r="G49" s="3" t="s">
        <v>19</v>
      </c>
      <c r="H49" s="3" t="s">
        <v>39</v>
      </c>
      <c r="I49" s="3" t="s">
        <v>25</v>
      </c>
      <c r="J49" s="3" t="s">
        <v>35</v>
      </c>
      <c r="K49" s="3" t="s">
        <v>23</v>
      </c>
      <c r="L49" s="3">
        <v>2</v>
      </c>
      <c r="M49" s="3">
        <v>3</v>
      </c>
      <c r="N49" s="4">
        <v>44482</v>
      </c>
      <c r="O49" s="54">
        <v>0.38541666666666669</v>
      </c>
      <c r="P49" s="5" t="b">
        <v>1</v>
      </c>
      <c r="Q49" s="7">
        <v>48</v>
      </c>
      <c r="R49" s="7">
        <v>11</v>
      </c>
      <c r="S49" s="7"/>
      <c r="T49" s="7"/>
      <c r="U49" s="3"/>
      <c r="AA49" s="3"/>
      <c r="AB49" s="3" t="s">
        <v>325</v>
      </c>
      <c r="AC49" s="3"/>
      <c r="AD49" s="3"/>
      <c r="AE49" s="3"/>
    </row>
    <row r="50" spans="1:32" x14ac:dyDescent="0.35">
      <c r="A50" s="3" t="str">
        <f t="shared" si="0"/>
        <v>Sto_WS_OT</v>
      </c>
      <c r="B50" s="3">
        <v>17</v>
      </c>
      <c r="C50" s="3">
        <v>4</v>
      </c>
      <c r="D50" s="3" t="s">
        <v>17</v>
      </c>
      <c r="E50" s="3">
        <v>49</v>
      </c>
      <c r="F50" s="3" t="s">
        <v>57</v>
      </c>
      <c r="G50" s="3" t="s">
        <v>19</v>
      </c>
      <c r="H50" s="3" t="s">
        <v>39</v>
      </c>
      <c r="I50" s="3" t="s">
        <v>21</v>
      </c>
      <c r="J50" s="3" t="s">
        <v>26</v>
      </c>
      <c r="K50" s="3" t="s">
        <v>23</v>
      </c>
      <c r="L50" s="3">
        <v>2</v>
      </c>
      <c r="M50" s="3"/>
      <c r="N50" s="4">
        <v>44481</v>
      </c>
      <c r="O50" s="4"/>
      <c r="P50" s="5" t="b">
        <v>0</v>
      </c>
      <c r="Q50" s="7">
        <f>E50</f>
        <v>49</v>
      </c>
      <c r="R50" s="7"/>
      <c r="S50" s="7"/>
      <c r="T50" s="7" t="s">
        <v>302</v>
      </c>
      <c r="U50" s="3"/>
      <c r="AA50" s="3"/>
      <c r="AB50" s="3" t="s">
        <v>326</v>
      </c>
      <c r="AC50" s="3" t="s">
        <v>896</v>
      </c>
      <c r="AD50" s="3" t="s">
        <v>896</v>
      </c>
      <c r="AE50" s="3" t="s">
        <v>896</v>
      </c>
    </row>
    <row r="51" spans="1:32" x14ac:dyDescent="0.35">
      <c r="A51" s="3" t="str">
        <f t="shared" si="0"/>
        <v>Sto_WS_OT</v>
      </c>
      <c r="B51" s="3">
        <v>17</v>
      </c>
      <c r="C51" s="3">
        <v>4</v>
      </c>
      <c r="D51" s="3" t="s">
        <v>17</v>
      </c>
      <c r="E51" s="3">
        <v>49</v>
      </c>
      <c r="F51" s="3" t="s">
        <v>57</v>
      </c>
      <c r="G51" s="3" t="s">
        <v>19</v>
      </c>
      <c r="H51" s="3" t="s">
        <v>39</v>
      </c>
      <c r="I51" s="3" t="s">
        <v>21</v>
      </c>
      <c r="J51" s="3" t="s">
        <v>28</v>
      </c>
      <c r="K51" s="3" t="s">
        <v>23</v>
      </c>
      <c r="L51" s="3">
        <v>2</v>
      </c>
      <c r="M51" s="3"/>
      <c r="N51" s="4">
        <v>44481</v>
      </c>
      <c r="O51" s="4"/>
      <c r="P51" s="5" t="b">
        <v>1</v>
      </c>
      <c r="Q51" s="7">
        <v>50</v>
      </c>
      <c r="R51" s="7"/>
      <c r="S51" s="7"/>
      <c r="T51" s="7"/>
      <c r="U51" s="3"/>
      <c r="Z51" t="s">
        <v>302</v>
      </c>
      <c r="AA51" s="3"/>
      <c r="AB51" s="3"/>
      <c r="AC51" s="3"/>
      <c r="AD51" s="3"/>
      <c r="AE51" s="3"/>
    </row>
    <row r="52" spans="1:32" x14ac:dyDescent="0.35">
      <c r="A52" s="3" t="str">
        <f t="shared" si="0"/>
        <v>Wen_WS_OT</v>
      </c>
      <c r="B52" s="3">
        <v>18</v>
      </c>
      <c r="C52" s="3">
        <v>4</v>
      </c>
      <c r="D52" s="3" t="s">
        <v>17</v>
      </c>
      <c r="E52" s="3">
        <v>51</v>
      </c>
      <c r="F52" s="3" t="s">
        <v>58</v>
      </c>
      <c r="G52" s="3" t="s">
        <v>19</v>
      </c>
      <c r="H52" s="3" t="s">
        <v>39</v>
      </c>
      <c r="I52" s="3" t="s">
        <v>25</v>
      </c>
      <c r="J52" s="3" t="s">
        <v>28</v>
      </c>
      <c r="K52" s="3"/>
      <c r="L52" s="3">
        <v>2</v>
      </c>
      <c r="M52" s="3"/>
      <c r="N52" s="4">
        <v>44483</v>
      </c>
      <c r="O52" s="54"/>
      <c r="P52" s="5" t="b">
        <v>0</v>
      </c>
      <c r="Q52" s="7">
        <f>E52</f>
        <v>51</v>
      </c>
      <c r="R52" s="7"/>
      <c r="S52" s="7"/>
      <c r="T52" s="7"/>
      <c r="U52" s="3"/>
      <c r="AA52" s="3"/>
      <c r="AB52" s="3"/>
      <c r="AC52" s="3"/>
      <c r="AD52" s="3"/>
      <c r="AE52" s="3"/>
    </row>
    <row r="53" spans="1:32" x14ac:dyDescent="0.35">
      <c r="A53" s="3" t="str">
        <f t="shared" si="0"/>
        <v>Wen_WS_OT</v>
      </c>
      <c r="B53" s="3">
        <v>18</v>
      </c>
      <c r="C53" s="3">
        <v>4</v>
      </c>
      <c r="D53" s="3" t="s">
        <v>17</v>
      </c>
      <c r="E53" s="3">
        <v>51</v>
      </c>
      <c r="F53" s="3" t="s">
        <v>58</v>
      </c>
      <c r="G53" s="3" t="s">
        <v>19</v>
      </c>
      <c r="H53" s="3" t="s">
        <v>39</v>
      </c>
      <c r="I53" s="3" t="s">
        <v>25</v>
      </c>
      <c r="J53" s="3" t="s">
        <v>28</v>
      </c>
      <c r="K53" s="3" t="s">
        <v>59</v>
      </c>
      <c r="L53" s="3">
        <v>2</v>
      </c>
      <c r="M53" s="3"/>
      <c r="N53" s="4">
        <v>44483</v>
      </c>
      <c r="O53" s="4"/>
      <c r="P53" s="5" t="b">
        <v>1</v>
      </c>
      <c r="Q53" s="7">
        <v>52</v>
      </c>
      <c r="R53" s="7"/>
      <c r="S53" s="7"/>
      <c r="T53" s="7"/>
      <c r="U53" s="3"/>
      <c r="AA53" s="3"/>
      <c r="AB53" s="3"/>
      <c r="AC53" s="3"/>
      <c r="AD53" s="3"/>
      <c r="AE53" s="3"/>
    </row>
    <row r="54" spans="1:32" x14ac:dyDescent="0.35">
      <c r="A54" s="3" t="str">
        <f t="shared" si="0"/>
        <v>Sto_WW_OT</v>
      </c>
      <c r="B54" s="3">
        <v>19</v>
      </c>
      <c r="C54" s="3">
        <v>4</v>
      </c>
      <c r="D54" s="3" t="s">
        <v>17</v>
      </c>
      <c r="E54" s="3">
        <v>53</v>
      </c>
      <c r="F54" s="3" t="s">
        <v>60</v>
      </c>
      <c r="G54" s="3" t="s">
        <v>19</v>
      </c>
      <c r="H54" s="3" t="s">
        <v>20</v>
      </c>
      <c r="I54" s="3" t="s">
        <v>21</v>
      </c>
      <c r="J54" s="3" t="s">
        <v>22</v>
      </c>
      <c r="K54" s="3" t="s">
        <v>23</v>
      </c>
      <c r="L54" s="3">
        <v>2</v>
      </c>
      <c r="M54" s="3"/>
      <c r="N54" s="4">
        <v>44482</v>
      </c>
      <c r="O54" s="54">
        <v>0.38541666666666669</v>
      </c>
      <c r="P54" s="5" t="b">
        <v>0</v>
      </c>
      <c r="Q54" s="7">
        <f>E54</f>
        <v>53</v>
      </c>
      <c r="R54" s="7"/>
      <c r="S54" s="7"/>
      <c r="T54" s="7"/>
      <c r="U54" s="3"/>
      <c r="Y54" t="s">
        <v>302</v>
      </c>
      <c r="AA54" s="3"/>
      <c r="AB54" s="3"/>
      <c r="AC54" t="s">
        <v>894</v>
      </c>
      <c r="AD54" t="s">
        <v>894</v>
      </c>
      <c r="AE54" t="s">
        <v>894</v>
      </c>
      <c r="AF54" t="s">
        <v>895</v>
      </c>
    </row>
    <row r="55" spans="1:32" x14ac:dyDescent="0.35">
      <c r="A55" s="3" t="str">
        <f t="shared" si="0"/>
        <v>Sto_WW_OT</v>
      </c>
      <c r="B55" s="3">
        <v>19</v>
      </c>
      <c r="C55" s="3">
        <v>4</v>
      </c>
      <c r="D55" s="3" t="s">
        <v>17</v>
      </c>
      <c r="E55" s="3">
        <v>53</v>
      </c>
      <c r="F55" s="3" t="s">
        <v>60</v>
      </c>
      <c r="G55" s="3" t="s">
        <v>19</v>
      </c>
      <c r="H55" s="3" t="s">
        <v>20</v>
      </c>
      <c r="I55" s="3" t="s">
        <v>21</v>
      </c>
      <c r="J55" s="3" t="s">
        <v>35</v>
      </c>
      <c r="K55" s="3" t="s">
        <v>23</v>
      </c>
      <c r="L55" s="3">
        <v>2</v>
      </c>
      <c r="M55" s="3"/>
      <c r="N55" s="4">
        <v>44482</v>
      </c>
      <c r="O55" s="54">
        <v>0.38541666666666669</v>
      </c>
      <c r="P55" s="5" t="b">
        <v>1</v>
      </c>
      <c r="Q55" s="7">
        <v>54</v>
      </c>
      <c r="R55" s="7">
        <v>6</v>
      </c>
      <c r="S55" s="7"/>
      <c r="T55" s="7"/>
      <c r="U55" s="3"/>
      <c r="AA55" s="3"/>
      <c r="AB55" s="3" t="s">
        <v>325</v>
      </c>
      <c r="AC55" s="3"/>
      <c r="AD55" s="3"/>
      <c r="AE55" s="3"/>
    </row>
    <row r="56" spans="1:32" x14ac:dyDescent="0.35">
      <c r="A56" s="3" t="str">
        <f t="shared" si="0"/>
        <v>Wen_WW_OT</v>
      </c>
      <c r="B56" s="3">
        <v>20</v>
      </c>
      <c r="C56" s="3">
        <v>4</v>
      </c>
      <c r="D56" s="3" t="s">
        <v>17</v>
      </c>
      <c r="E56" s="3">
        <v>55</v>
      </c>
      <c r="F56" s="3" t="s">
        <v>61</v>
      </c>
      <c r="G56" s="3" t="s">
        <v>19</v>
      </c>
      <c r="H56" s="3" t="s">
        <v>20</v>
      </c>
      <c r="I56" s="3" t="s">
        <v>25</v>
      </c>
      <c r="J56" s="3" t="s">
        <v>22</v>
      </c>
      <c r="K56" s="3" t="s">
        <v>23</v>
      </c>
      <c r="L56" s="3">
        <v>2</v>
      </c>
      <c r="M56" s="3"/>
      <c r="N56" s="4">
        <v>44482</v>
      </c>
      <c r="O56" s="54">
        <v>0.38541666666666669</v>
      </c>
      <c r="P56" s="5" t="b">
        <v>0</v>
      </c>
      <c r="Q56" s="7">
        <f>E56</f>
        <v>55</v>
      </c>
      <c r="R56" s="7"/>
      <c r="S56" s="7"/>
      <c r="T56" s="7"/>
      <c r="U56" s="3"/>
      <c r="AA56" s="3"/>
      <c r="AB56" s="3"/>
      <c r="AC56" t="s">
        <v>894</v>
      </c>
      <c r="AD56" t="s">
        <v>894</v>
      </c>
      <c r="AE56" t="s">
        <v>894</v>
      </c>
      <c r="AF56" t="s">
        <v>895</v>
      </c>
    </row>
    <row r="57" spans="1:32" x14ac:dyDescent="0.35">
      <c r="A57" s="3" t="str">
        <f t="shared" si="0"/>
        <v>Wen_WW_OT</v>
      </c>
      <c r="B57" s="3">
        <v>20</v>
      </c>
      <c r="C57" s="3">
        <v>4</v>
      </c>
      <c r="D57" s="3" t="s">
        <v>17</v>
      </c>
      <c r="E57" s="3">
        <v>55</v>
      </c>
      <c r="F57" s="3" t="s">
        <v>61</v>
      </c>
      <c r="G57" s="3" t="s">
        <v>19</v>
      </c>
      <c r="H57" s="3" t="s">
        <v>20</v>
      </c>
      <c r="I57" s="3" t="s">
        <v>25</v>
      </c>
      <c r="J57" s="3" t="s">
        <v>35</v>
      </c>
      <c r="K57" s="3" t="s">
        <v>23</v>
      </c>
      <c r="L57" s="3">
        <v>2</v>
      </c>
      <c r="M57" s="3"/>
      <c r="N57" s="4">
        <v>44482</v>
      </c>
      <c r="O57" s="54">
        <v>0.38541666666666669</v>
      </c>
      <c r="P57" s="5" t="b">
        <v>1</v>
      </c>
      <c r="Q57" s="7">
        <v>56</v>
      </c>
      <c r="R57" s="7">
        <v>3</v>
      </c>
      <c r="S57" s="7"/>
      <c r="T57" s="7"/>
      <c r="U57" s="3"/>
      <c r="Z57" t="s">
        <v>302</v>
      </c>
      <c r="AA57" s="3"/>
      <c r="AB57" s="3" t="s">
        <v>325</v>
      </c>
      <c r="AC57" s="3"/>
      <c r="AD57" s="3"/>
      <c r="AE57" s="3"/>
    </row>
    <row r="58" spans="1:32" x14ac:dyDescent="0.35">
      <c r="A58" s="3" t="str">
        <f t="shared" si="0"/>
        <v>Sto_WS_OT</v>
      </c>
      <c r="B58" s="3">
        <v>21</v>
      </c>
      <c r="C58" s="3">
        <v>4</v>
      </c>
      <c r="D58" s="3" t="s">
        <v>17</v>
      </c>
      <c r="E58" s="3">
        <v>57</v>
      </c>
      <c r="F58" s="3" t="s">
        <v>62</v>
      </c>
      <c r="G58" s="3" t="s">
        <v>19</v>
      </c>
      <c r="H58" s="3" t="s">
        <v>39</v>
      </c>
      <c r="I58" s="3" t="s">
        <v>21</v>
      </c>
      <c r="J58" s="3" t="s">
        <v>35</v>
      </c>
      <c r="K58" s="3" t="s">
        <v>59</v>
      </c>
      <c r="L58" s="3">
        <v>2</v>
      </c>
      <c r="M58" s="3"/>
      <c r="N58" s="4">
        <v>44483</v>
      </c>
      <c r="O58" s="54">
        <v>0.72916666666666663</v>
      </c>
      <c r="P58" s="5" t="b">
        <v>0</v>
      </c>
      <c r="Q58" s="7">
        <f>E58</f>
        <v>57</v>
      </c>
      <c r="R58" s="7"/>
      <c r="S58" s="7"/>
      <c r="T58" s="7"/>
      <c r="U58" s="3"/>
      <c r="AA58" s="3" t="s">
        <v>275</v>
      </c>
      <c r="AB58" s="3"/>
      <c r="AC58" s="3"/>
      <c r="AD58" s="3"/>
      <c r="AE58" s="3"/>
      <c r="AF58" t="s">
        <v>895</v>
      </c>
    </row>
    <row r="59" spans="1:32" x14ac:dyDescent="0.35">
      <c r="A59" s="3" t="str">
        <f t="shared" si="0"/>
        <v>Sto_WS_OT</v>
      </c>
      <c r="B59" s="3">
        <v>21</v>
      </c>
      <c r="C59" s="3">
        <v>4</v>
      </c>
      <c r="D59" s="3" t="s">
        <v>17</v>
      </c>
      <c r="E59" s="3">
        <v>57</v>
      </c>
      <c r="F59" s="3" t="s">
        <v>62</v>
      </c>
      <c r="G59" s="3" t="s">
        <v>19</v>
      </c>
      <c r="H59" s="3" t="s">
        <v>39</v>
      </c>
      <c r="I59" s="3" t="s">
        <v>21</v>
      </c>
      <c r="J59" s="3" t="s">
        <v>35</v>
      </c>
      <c r="K59" s="3" t="s">
        <v>59</v>
      </c>
      <c r="L59" s="3">
        <v>2</v>
      </c>
      <c r="M59" s="3"/>
      <c r="N59" s="4">
        <v>44483</v>
      </c>
      <c r="O59" s="54">
        <v>0.72916666666666663</v>
      </c>
      <c r="P59" s="5" t="b">
        <v>1</v>
      </c>
      <c r="Q59" s="7">
        <v>58</v>
      </c>
      <c r="R59" s="7"/>
      <c r="S59" s="7"/>
      <c r="T59" s="7"/>
      <c r="U59" s="3"/>
      <c r="AA59" s="3" t="s">
        <v>235</v>
      </c>
      <c r="AB59" s="3"/>
      <c r="AC59" s="3"/>
      <c r="AD59" s="3"/>
      <c r="AE59" s="3"/>
    </row>
    <row r="60" spans="1:32" x14ac:dyDescent="0.35">
      <c r="A60" s="3" t="str">
        <f t="shared" si="0"/>
        <v>Wen_WS_OT</v>
      </c>
      <c r="B60" s="3">
        <v>22</v>
      </c>
      <c r="C60" s="3">
        <v>4</v>
      </c>
      <c r="D60" s="3" t="s">
        <v>17</v>
      </c>
      <c r="E60" s="3">
        <v>59</v>
      </c>
      <c r="F60" s="3" t="s">
        <v>63</v>
      </c>
      <c r="G60" s="3" t="s">
        <v>19</v>
      </c>
      <c r="H60" s="3" t="s">
        <v>39</v>
      </c>
      <c r="I60" s="3" t="s">
        <v>25</v>
      </c>
      <c r="J60" s="3" t="s">
        <v>26</v>
      </c>
      <c r="K60" s="3" t="s">
        <v>27</v>
      </c>
      <c r="L60" s="3">
        <v>2</v>
      </c>
      <c r="M60" s="3"/>
      <c r="N60" s="4">
        <v>44481</v>
      </c>
      <c r="O60" s="4"/>
      <c r="P60" s="5" t="b">
        <v>0</v>
      </c>
      <c r="Q60" s="7">
        <f>E60</f>
        <v>59</v>
      </c>
      <c r="R60" s="7"/>
      <c r="S60" s="7"/>
      <c r="T60" s="7"/>
      <c r="U60" s="3"/>
      <c r="AA60" s="3"/>
      <c r="AB60" s="3" t="s">
        <v>326</v>
      </c>
      <c r="AC60" s="3" t="s">
        <v>896</v>
      </c>
      <c r="AD60" s="3" t="s">
        <v>896</v>
      </c>
      <c r="AE60" s="3" t="s">
        <v>896</v>
      </c>
    </row>
    <row r="61" spans="1:32" ht="29" x14ac:dyDescent="0.35">
      <c r="A61" s="3" t="str">
        <f t="shared" si="0"/>
        <v>Wen_WS_OT</v>
      </c>
      <c r="B61" s="3">
        <v>22</v>
      </c>
      <c r="C61" s="3">
        <v>4</v>
      </c>
      <c r="D61" s="3" t="s">
        <v>17</v>
      </c>
      <c r="E61" s="3">
        <v>59</v>
      </c>
      <c r="F61" s="3" t="s">
        <v>63</v>
      </c>
      <c r="G61" s="3" t="s">
        <v>19</v>
      </c>
      <c r="H61" s="3" t="s">
        <v>39</v>
      </c>
      <c r="I61" s="3" t="s">
        <v>25</v>
      </c>
      <c r="J61" s="3" t="s">
        <v>28</v>
      </c>
      <c r="K61" s="3" t="s">
        <v>64</v>
      </c>
      <c r="L61" s="3">
        <v>2</v>
      </c>
      <c r="M61" s="3"/>
      <c r="N61" s="4">
        <v>44481</v>
      </c>
      <c r="O61" s="4"/>
      <c r="P61" s="5" t="b">
        <v>1</v>
      </c>
      <c r="Q61" s="7">
        <v>60</v>
      </c>
      <c r="R61" s="7"/>
      <c r="S61" s="7"/>
      <c r="T61" s="7"/>
      <c r="U61" s="3"/>
      <c r="Z61" t="s">
        <v>302</v>
      </c>
      <c r="AA61" s="109" t="s">
        <v>340</v>
      </c>
      <c r="AB61" s="3"/>
      <c r="AC61" s="3"/>
      <c r="AD61" s="3"/>
      <c r="AE61" s="3"/>
    </row>
    <row r="62" spans="1:32" x14ac:dyDescent="0.35">
      <c r="A62" s="3" t="str">
        <f t="shared" si="0"/>
        <v>Sto_WS_OT</v>
      </c>
      <c r="B62" s="3">
        <v>1</v>
      </c>
      <c r="C62" s="3">
        <v>3</v>
      </c>
      <c r="D62" s="3" t="s">
        <v>17</v>
      </c>
      <c r="E62" s="3">
        <v>61</v>
      </c>
      <c r="F62" s="3" t="s">
        <v>65</v>
      </c>
      <c r="G62" s="3" t="s">
        <v>19</v>
      </c>
      <c r="H62" s="3" t="s">
        <v>39</v>
      </c>
      <c r="I62" s="3" t="s">
        <v>21</v>
      </c>
      <c r="J62" s="3" t="s">
        <v>22</v>
      </c>
      <c r="K62" s="3" t="s">
        <v>23</v>
      </c>
      <c r="L62" s="3">
        <v>2</v>
      </c>
      <c r="M62" s="3">
        <v>4</v>
      </c>
      <c r="N62" s="4">
        <v>44481</v>
      </c>
      <c r="O62" s="54">
        <v>0.34375</v>
      </c>
      <c r="P62" s="5" t="b">
        <v>0</v>
      </c>
      <c r="Q62" s="7">
        <f>E62</f>
        <v>61</v>
      </c>
      <c r="R62" s="7"/>
      <c r="S62" s="7"/>
      <c r="T62" s="7"/>
      <c r="U62" s="3"/>
      <c r="AA62" s="3"/>
      <c r="AB62" s="3"/>
      <c r="AC62" t="s">
        <v>894</v>
      </c>
      <c r="AD62" t="s">
        <v>894</v>
      </c>
      <c r="AE62" t="s">
        <v>894</v>
      </c>
      <c r="AF62" t="s">
        <v>895</v>
      </c>
    </row>
    <row r="63" spans="1:32" x14ac:dyDescent="0.35">
      <c r="A63" s="3" t="str">
        <f t="shared" si="0"/>
        <v>Sto_WS_OT</v>
      </c>
      <c r="B63" s="3">
        <v>1</v>
      </c>
      <c r="C63" s="3">
        <v>3</v>
      </c>
      <c r="D63" s="3" t="s">
        <v>17</v>
      </c>
      <c r="E63" s="3">
        <v>61</v>
      </c>
      <c r="F63" s="3" t="s">
        <v>65</v>
      </c>
      <c r="G63" s="3" t="s">
        <v>19</v>
      </c>
      <c r="H63" s="3" t="s">
        <v>39</v>
      </c>
      <c r="I63" s="3" t="s">
        <v>21</v>
      </c>
      <c r="J63" s="3" t="s">
        <v>35</v>
      </c>
      <c r="K63" s="3" t="s">
        <v>23</v>
      </c>
      <c r="L63" s="3">
        <v>2</v>
      </c>
      <c r="M63" s="3">
        <v>4</v>
      </c>
      <c r="N63" s="4">
        <v>44481</v>
      </c>
      <c r="O63" s="54">
        <v>0.34375</v>
      </c>
      <c r="P63" s="5" t="b">
        <v>1</v>
      </c>
      <c r="Q63" s="7">
        <v>62</v>
      </c>
      <c r="R63" s="7">
        <v>16</v>
      </c>
      <c r="S63" s="7"/>
      <c r="T63" s="7"/>
      <c r="U63" s="3"/>
      <c r="Z63" t="s">
        <v>302</v>
      </c>
      <c r="AA63" s="3"/>
      <c r="AB63" s="3" t="s">
        <v>325</v>
      </c>
      <c r="AC63" s="3"/>
      <c r="AD63" s="3"/>
      <c r="AE63" s="3"/>
    </row>
    <row r="64" spans="1:32" x14ac:dyDescent="0.35">
      <c r="A64" s="3" t="str">
        <f t="shared" si="0"/>
        <v>Wen_WW_OT</v>
      </c>
      <c r="B64" s="3">
        <v>2</v>
      </c>
      <c r="C64" s="3">
        <v>3</v>
      </c>
      <c r="D64" s="3" t="s">
        <v>17</v>
      </c>
      <c r="E64" s="3">
        <v>63</v>
      </c>
      <c r="F64" s="3" t="s">
        <v>66</v>
      </c>
      <c r="G64" s="3" t="s">
        <v>19</v>
      </c>
      <c r="H64" s="3" t="s">
        <v>20</v>
      </c>
      <c r="I64" s="3" t="s">
        <v>25</v>
      </c>
      <c r="J64" s="3" t="s">
        <v>35</v>
      </c>
      <c r="K64" s="3" t="s">
        <v>27</v>
      </c>
      <c r="L64" s="3">
        <v>2</v>
      </c>
      <c r="M64" s="3">
        <v>2</v>
      </c>
      <c r="N64" s="4">
        <v>44483</v>
      </c>
      <c r="O64" s="54">
        <v>0.72916666666666663</v>
      </c>
      <c r="P64" s="5" t="b">
        <v>0</v>
      </c>
      <c r="Q64" s="7">
        <f>E64</f>
        <v>63</v>
      </c>
      <c r="R64" s="7"/>
      <c r="S64" s="7"/>
      <c r="T64" s="7"/>
      <c r="U64" s="3" t="s">
        <v>67</v>
      </c>
      <c r="V64" t="s">
        <v>302</v>
      </c>
      <c r="AA64" s="3" t="s">
        <v>276</v>
      </c>
      <c r="AB64" s="3"/>
      <c r="AC64" s="3"/>
      <c r="AD64" s="3"/>
      <c r="AE64" s="3"/>
      <c r="AF64" t="s">
        <v>895</v>
      </c>
    </row>
    <row r="65" spans="1:32" x14ac:dyDescent="0.35">
      <c r="A65" s="3" t="str">
        <f t="shared" si="0"/>
        <v>Wen_WW_OT</v>
      </c>
      <c r="B65" s="3">
        <v>2</v>
      </c>
      <c r="C65" s="3">
        <v>3</v>
      </c>
      <c r="D65" s="3" t="s">
        <v>17</v>
      </c>
      <c r="E65" s="3">
        <v>63</v>
      </c>
      <c r="F65" s="3" t="s">
        <v>66</v>
      </c>
      <c r="G65" s="3" t="s">
        <v>19</v>
      </c>
      <c r="H65" s="3" t="s">
        <v>20</v>
      </c>
      <c r="I65" s="3" t="s">
        <v>25</v>
      </c>
      <c r="J65" s="3" t="s">
        <v>28</v>
      </c>
      <c r="K65" s="3" t="s">
        <v>27</v>
      </c>
      <c r="L65" s="3"/>
      <c r="M65" s="3">
        <v>2</v>
      </c>
      <c r="N65" s="4"/>
      <c r="O65" s="4"/>
      <c r="P65" s="5" t="b">
        <v>1</v>
      </c>
      <c r="Q65" s="7">
        <v>64</v>
      </c>
      <c r="R65" s="7"/>
      <c r="S65" s="7"/>
      <c r="T65" s="7"/>
      <c r="U65" s="3" t="s">
        <v>68</v>
      </c>
      <c r="V65" t="s">
        <v>302</v>
      </c>
      <c r="W65" t="s">
        <v>302</v>
      </c>
      <c r="AA65" s="3" t="s">
        <v>218</v>
      </c>
      <c r="AB65" s="3"/>
      <c r="AC65" s="3"/>
      <c r="AD65" s="3"/>
      <c r="AE65" s="3"/>
    </row>
    <row r="66" spans="1:32" x14ac:dyDescent="0.35">
      <c r="A66" s="3" t="str">
        <f t="shared" si="0"/>
        <v>Sto_WW_OT</v>
      </c>
      <c r="B66" s="3">
        <v>3</v>
      </c>
      <c r="C66" s="3">
        <v>3</v>
      </c>
      <c r="D66" s="3" t="s">
        <v>17</v>
      </c>
      <c r="E66" s="3">
        <v>65</v>
      </c>
      <c r="F66" s="3" t="s">
        <v>69</v>
      </c>
      <c r="G66" s="3" t="s">
        <v>19</v>
      </c>
      <c r="H66" s="3" t="s">
        <v>20</v>
      </c>
      <c r="I66" s="3" t="s">
        <v>21</v>
      </c>
      <c r="J66" s="3" t="s">
        <v>26</v>
      </c>
      <c r="K66" s="3" t="s">
        <v>23</v>
      </c>
      <c r="L66" s="3">
        <v>2</v>
      </c>
      <c r="M66" s="3">
        <v>4</v>
      </c>
      <c r="N66" s="4">
        <v>44483</v>
      </c>
      <c r="O66" s="4"/>
      <c r="P66" s="5" t="b">
        <v>0</v>
      </c>
      <c r="Q66" s="7">
        <f>E66</f>
        <v>65</v>
      </c>
      <c r="R66" s="7"/>
      <c r="S66" s="7"/>
      <c r="T66" s="7"/>
      <c r="U66" s="3" t="s">
        <v>70</v>
      </c>
      <c r="V66" t="s">
        <v>302</v>
      </c>
      <c r="AA66" s="3" t="s">
        <v>209</v>
      </c>
      <c r="AB66" s="3" t="s">
        <v>326</v>
      </c>
      <c r="AC66" s="3" t="s">
        <v>896</v>
      </c>
      <c r="AD66" s="3" t="s">
        <v>896</v>
      </c>
      <c r="AE66" s="3" t="s">
        <v>896</v>
      </c>
    </row>
    <row r="67" spans="1:32" x14ac:dyDescent="0.35">
      <c r="A67" s="3" t="str">
        <f t="shared" ref="A67:A130" si="1">LEFT(I67,3)&amp;"_"&amp;H67&amp;"_"&amp;G67</f>
        <v>Sto_WW_OT</v>
      </c>
      <c r="B67" s="3">
        <v>3</v>
      </c>
      <c r="C67" s="3">
        <v>3</v>
      </c>
      <c r="D67" s="3" t="s">
        <v>17</v>
      </c>
      <c r="E67" s="3">
        <v>65</v>
      </c>
      <c r="F67" s="3" t="s">
        <v>69</v>
      </c>
      <c r="G67" s="3" t="s">
        <v>19</v>
      </c>
      <c r="H67" s="3" t="s">
        <v>20</v>
      </c>
      <c r="I67" s="3" t="s">
        <v>21</v>
      </c>
      <c r="J67" s="3"/>
      <c r="K67" s="3"/>
      <c r="L67" s="3"/>
      <c r="M67" s="3">
        <v>4</v>
      </c>
      <c r="N67" s="4"/>
      <c r="O67" s="4"/>
      <c r="P67" s="5" t="b">
        <v>1</v>
      </c>
      <c r="Q67" s="7">
        <v>66</v>
      </c>
      <c r="R67" s="7"/>
      <c r="S67" s="7"/>
      <c r="T67" s="7"/>
      <c r="U67" s="3" t="s">
        <v>71</v>
      </c>
      <c r="V67" t="s">
        <v>302</v>
      </c>
      <c r="W67" t="s">
        <v>302</v>
      </c>
      <c r="AA67" s="3" t="s">
        <v>218</v>
      </c>
      <c r="AB67" s="3"/>
      <c r="AC67" s="3"/>
      <c r="AD67" s="3"/>
      <c r="AE67" s="3"/>
    </row>
    <row r="68" spans="1:32" x14ac:dyDescent="0.35">
      <c r="A68" s="3" t="str">
        <f t="shared" si="1"/>
        <v>Wen_WW_OT</v>
      </c>
      <c r="B68" s="3">
        <v>4</v>
      </c>
      <c r="C68" s="3">
        <v>3</v>
      </c>
      <c r="D68" s="3" t="s">
        <v>17</v>
      </c>
      <c r="E68" s="3">
        <v>67</v>
      </c>
      <c r="F68" s="3" t="s">
        <v>72</v>
      </c>
      <c r="G68" s="3" t="s">
        <v>19</v>
      </c>
      <c r="H68" s="3" t="s">
        <v>20</v>
      </c>
      <c r="I68" s="3" t="s">
        <v>25</v>
      </c>
      <c r="J68" s="3" t="s">
        <v>22</v>
      </c>
      <c r="K68" s="3" t="s">
        <v>23</v>
      </c>
      <c r="L68" s="3">
        <v>2</v>
      </c>
      <c r="M68" s="3">
        <v>4</v>
      </c>
      <c r="N68" s="4">
        <v>44482</v>
      </c>
      <c r="O68" s="54">
        <v>0.38541666666666669</v>
      </c>
      <c r="P68" s="5" t="b">
        <v>0</v>
      </c>
      <c r="Q68" s="7">
        <f>E68</f>
        <v>67</v>
      </c>
      <c r="R68" s="7"/>
      <c r="S68" s="7"/>
      <c r="T68" s="7"/>
      <c r="U68" s="3"/>
      <c r="Y68" t="s">
        <v>302</v>
      </c>
      <c r="AA68" s="3"/>
      <c r="AB68" s="3"/>
      <c r="AC68" t="s">
        <v>894</v>
      </c>
      <c r="AD68" t="s">
        <v>894</v>
      </c>
      <c r="AE68" t="s">
        <v>894</v>
      </c>
      <c r="AF68" t="s">
        <v>895</v>
      </c>
    </row>
    <row r="69" spans="1:32" x14ac:dyDescent="0.35">
      <c r="A69" s="3" t="str">
        <f t="shared" si="1"/>
        <v>Wen_WW_OT</v>
      </c>
      <c r="B69" s="3">
        <v>4</v>
      </c>
      <c r="C69" s="3">
        <v>3</v>
      </c>
      <c r="D69" s="3" t="s">
        <v>17</v>
      </c>
      <c r="E69" s="3">
        <v>67</v>
      </c>
      <c r="F69" s="3" t="s">
        <v>72</v>
      </c>
      <c r="G69" s="3" t="s">
        <v>19</v>
      </c>
      <c r="H69" s="3" t="s">
        <v>20</v>
      </c>
      <c r="I69" s="3" t="s">
        <v>25</v>
      </c>
      <c r="J69" s="3" t="s">
        <v>35</v>
      </c>
      <c r="K69" s="3" t="s">
        <v>23</v>
      </c>
      <c r="L69" s="3">
        <v>2</v>
      </c>
      <c r="M69" s="3">
        <v>4</v>
      </c>
      <c r="N69" s="4">
        <v>44482</v>
      </c>
      <c r="O69" s="54">
        <v>0.38541666666666669</v>
      </c>
      <c r="P69" s="5" t="b">
        <v>1</v>
      </c>
      <c r="Q69" s="7">
        <v>68</v>
      </c>
      <c r="R69" s="7"/>
      <c r="S69" s="7"/>
      <c r="T69" s="7"/>
      <c r="U69" s="3"/>
      <c r="AA69" s="3" t="s">
        <v>211</v>
      </c>
      <c r="AB69" s="3"/>
      <c r="AC69" s="3"/>
      <c r="AD69" s="3"/>
      <c r="AE69" s="3"/>
    </row>
    <row r="70" spans="1:32" x14ac:dyDescent="0.35">
      <c r="A70" s="3" t="str">
        <f t="shared" si="1"/>
        <v>Sto_WW_OT</v>
      </c>
      <c r="B70" s="3">
        <v>5</v>
      </c>
      <c r="C70" s="3">
        <v>3</v>
      </c>
      <c r="D70" s="3" t="s">
        <v>17</v>
      </c>
      <c r="E70" s="3">
        <v>69</v>
      </c>
      <c r="F70" s="3" t="s">
        <v>73</v>
      </c>
      <c r="G70" s="3" t="s">
        <v>19</v>
      </c>
      <c r="H70" s="3" t="s">
        <v>20</v>
      </c>
      <c r="I70" s="3" t="s">
        <v>21</v>
      </c>
      <c r="J70" s="3" t="s">
        <v>26</v>
      </c>
      <c r="K70" s="3" t="s">
        <v>27</v>
      </c>
      <c r="L70" s="3">
        <v>2</v>
      </c>
      <c r="M70" s="3">
        <v>2</v>
      </c>
      <c r="N70" s="4">
        <v>44481</v>
      </c>
      <c r="O70" s="4"/>
      <c r="P70" s="5" t="b">
        <v>0</v>
      </c>
      <c r="Q70" s="7">
        <f>E70</f>
        <v>69</v>
      </c>
      <c r="R70" s="7"/>
      <c r="S70" s="7"/>
      <c r="T70" s="7"/>
      <c r="U70" s="3"/>
      <c r="AA70" s="3"/>
      <c r="AB70" s="3" t="s">
        <v>326</v>
      </c>
      <c r="AC70" s="3" t="s">
        <v>896</v>
      </c>
      <c r="AD70" s="3" t="s">
        <v>896</v>
      </c>
      <c r="AE70" s="3" t="s">
        <v>896</v>
      </c>
    </row>
    <row r="71" spans="1:32" x14ac:dyDescent="0.35">
      <c r="A71" s="3" t="str">
        <f t="shared" si="1"/>
        <v>Sto_WW_OT</v>
      </c>
      <c r="B71" s="3">
        <v>5</v>
      </c>
      <c r="C71" s="3">
        <v>3</v>
      </c>
      <c r="D71" s="3" t="s">
        <v>17</v>
      </c>
      <c r="E71" s="3">
        <v>69</v>
      </c>
      <c r="F71" s="3" t="s">
        <v>73</v>
      </c>
      <c r="G71" s="3" t="s">
        <v>19</v>
      </c>
      <c r="H71" s="3" t="s">
        <v>20</v>
      </c>
      <c r="I71" s="3" t="s">
        <v>21</v>
      </c>
      <c r="J71" s="3" t="s">
        <v>28</v>
      </c>
      <c r="K71" s="3" t="s">
        <v>27</v>
      </c>
      <c r="L71" s="3">
        <v>2</v>
      </c>
      <c r="M71" s="3">
        <v>2</v>
      </c>
      <c r="N71" s="4">
        <v>44481</v>
      </c>
      <c r="O71" s="4"/>
      <c r="P71" s="5" t="b">
        <v>1</v>
      </c>
      <c r="Q71" s="7">
        <v>70</v>
      </c>
      <c r="R71" s="7"/>
      <c r="S71" s="7"/>
      <c r="T71" s="7"/>
      <c r="U71" s="3"/>
      <c r="Z71" t="s">
        <v>302</v>
      </c>
      <c r="AA71" s="3"/>
      <c r="AB71" s="3"/>
      <c r="AC71" s="3"/>
      <c r="AD71" s="3"/>
      <c r="AE71" s="3"/>
    </row>
    <row r="72" spans="1:32" x14ac:dyDescent="0.35">
      <c r="A72" s="3" t="str">
        <f t="shared" si="1"/>
        <v>Wen_WS_OT</v>
      </c>
      <c r="B72" s="3">
        <v>6</v>
      </c>
      <c r="C72" s="3">
        <v>3</v>
      </c>
      <c r="D72" s="3" t="s">
        <v>17</v>
      </c>
      <c r="E72" s="3">
        <v>71</v>
      </c>
      <c r="F72" s="3" t="s">
        <v>74</v>
      </c>
      <c r="G72" s="3" t="s">
        <v>19</v>
      </c>
      <c r="H72" s="3" t="s">
        <v>39</v>
      </c>
      <c r="I72" s="3" t="s">
        <v>25</v>
      </c>
      <c r="J72" s="3" t="s">
        <v>22</v>
      </c>
      <c r="K72" s="3" t="s">
        <v>23</v>
      </c>
      <c r="L72" s="3">
        <v>2</v>
      </c>
      <c r="M72" s="3">
        <v>4</v>
      </c>
      <c r="N72" s="4">
        <v>44482</v>
      </c>
      <c r="O72" s="54">
        <v>0.38541666666666669</v>
      </c>
      <c r="P72" s="5" t="b">
        <v>0</v>
      </c>
      <c r="Q72" s="7">
        <f>E72</f>
        <v>71</v>
      </c>
      <c r="R72" s="7"/>
      <c r="S72" s="7"/>
      <c r="T72" s="7"/>
      <c r="U72" s="3"/>
      <c r="AA72" s="3"/>
      <c r="AB72" s="3"/>
      <c r="AC72" t="s">
        <v>894</v>
      </c>
      <c r="AD72" t="s">
        <v>894</v>
      </c>
      <c r="AE72" t="s">
        <v>894</v>
      </c>
      <c r="AF72" t="s">
        <v>895</v>
      </c>
    </row>
    <row r="73" spans="1:32" x14ac:dyDescent="0.35">
      <c r="A73" s="3" t="str">
        <f t="shared" si="1"/>
        <v>Wen_WS_OT</v>
      </c>
      <c r="B73" s="3">
        <v>6</v>
      </c>
      <c r="C73" s="3">
        <v>3</v>
      </c>
      <c r="D73" s="3" t="s">
        <v>17</v>
      </c>
      <c r="E73" s="3">
        <v>71</v>
      </c>
      <c r="F73" s="3" t="s">
        <v>74</v>
      </c>
      <c r="G73" s="3" t="s">
        <v>19</v>
      </c>
      <c r="H73" s="3" t="s">
        <v>39</v>
      </c>
      <c r="I73" s="3" t="s">
        <v>25</v>
      </c>
      <c r="J73" s="3" t="s">
        <v>35</v>
      </c>
      <c r="K73" s="3" t="s">
        <v>23</v>
      </c>
      <c r="L73" s="3">
        <v>2</v>
      </c>
      <c r="M73" s="3">
        <v>4</v>
      </c>
      <c r="N73" s="4">
        <v>44482</v>
      </c>
      <c r="O73" s="54">
        <v>0.38541666666666669</v>
      </c>
      <c r="P73" s="5" t="b">
        <v>1</v>
      </c>
      <c r="Q73" s="7">
        <v>72</v>
      </c>
      <c r="R73" s="7">
        <v>9</v>
      </c>
      <c r="S73" s="7"/>
      <c r="T73" s="7"/>
      <c r="U73" s="3"/>
      <c r="Z73" t="s">
        <v>302</v>
      </c>
      <c r="AA73" s="3"/>
      <c r="AB73" s="3" t="s">
        <v>325</v>
      </c>
      <c r="AC73" s="3"/>
      <c r="AD73" s="3"/>
      <c r="AE73" s="3"/>
    </row>
    <row r="74" spans="1:32" x14ac:dyDescent="0.35">
      <c r="A74" s="3" t="str">
        <f t="shared" si="1"/>
        <v>Sto_WS_OT</v>
      </c>
      <c r="B74" s="3">
        <v>7</v>
      </c>
      <c r="C74" s="3">
        <v>3</v>
      </c>
      <c r="D74" s="3" t="s">
        <v>17</v>
      </c>
      <c r="E74" s="3">
        <v>73</v>
      </c>
      <c r="F74" s="3" t="s">
        <v>75</v>
      </c>
      <c r="G74" s="3" t="s">
        <v>19</v>
      </c>
      <c r="H74" s="3" t="s">
        <v>39</v>
      </c>
      <c r="I74" s="3" t="s">
        <v>21</v>
      </c>
      <c r="J74" s="3" t="s">
        <v>26</v>
      </c>
      <c r="K74" s="3" t="s">
        <v>27</v>
      </c>
      <c r="L74" s="3">
        <v>2</v>
      </c>
      <c r="M74" s="3">
        <v>2</v>
      </c>
      <c r="N74" s="4">
        <v>44481</v>
      </c>
      <c r="O74" s="4"/>
      <c r="P74" s="5" t="b">
        <v>0</v>
      </c>
      <c r="Q74" s="7">
        <f>E74</f>
        <v>73</v>
      </c>
      <c r="R74" s="7"/>
      <c r="S74" s="7"/>
      <c r="T74" s="7" t="s">
        <v>302</v>
      </c>
      <c r="U74" s="3"/>
      <c r="AA74" s="3"/>
      <c r="AB74" s="3" t="s">
        <v>326</v>
      </c>
      <c r="AC74" s="3" t="s">
        <v>896</v>
      </c>
      <c r="AD74" s="3" t="s">
        <v>896</v>
      </c>
      <c r="AE74" s="3" t="s">
        <v>896</v>
      </c>
    </row>
    <row r="75" spans="1:32" x14ac:dyDescent="0.35">
      <c r="A75" s="3" t="str">
        <f t="shared" si="1"/>
        <v>Sto_WS_OT</v>
      </c>
      <c r="B75" s="3">
        <v>7</v>
      </c>
      <c r="C75" s="3">
        <v>3</v>
      </c>
      <c r="D75" s="3" t="s">
        <v>17</v>
      </c>
      <c r="E75" s="3">
        <v>73</v>
      </c>
      <c r="F75" s="3" t="s">
        <v>75</v>
      </c>
      <c r="G75" s="3" t="s">
        <v>19</v>
      </c>
      <c r="H75" s="3" t="s">
        <v>39</v>
      </c>
      <c r="I75" s="3" t="s">
        <v>21</v>
      </c>
      <c r="J75" s="3" t="s">
        <v>28</v>
      </c>
      <c r="K75" s="3" t="s">
        <v>27</v>
      </c>
      <c r="L75" s="3">
        <v>2</v>
      </c>
      <c r="M75" s="3">
        <v>2</v>
      </c>
      <c r="N75" s="4">
        <v>44481</v>
      </c>
      <c r="O75" s="4"/>
      <c r="P75" s="5" t="b">
        <v>1</v>
      </c>
      <c r="Q75" s="7">
        <v>74</v>
      </c>
      <c r="R75" s="7"/>
      <c r="S75" s="7"/>
      <c r="T75" s="7"/>
      <c r="U75" s="3"/>
      <c r="Z75" t="s">
        <v>302</v>
      </c>
      <c r="AA75" s="110" t="s">
        <v>354</v>
      </c>
      <c r="AB75" s="3"/>
      <c r="AC75" s="3"/>
      <c r="AD75" s="3"/>
      <c r="AE75" s="3"/>
    </row>
    <row r="76" spans="1:32" x14ac:dyDescent="0.35">
      <c r="A76" s="3" t="str">
        <f t="shared" si="1"/>
        <v>Sto_WS_OT</v>
      </c>
      <c r="B76" s="3">
        <v>8</v>
      </c>
      <c r="C76" s="3">
        <v>3</v>
      </c>
      <c r="D76" s="3" t="s">
        <v>17</v>
      </c>
      <c r="E76" s="3">
        <v>75</v>
      </c>
      <c r="F76" s="3" t="s">
        <v>76</v>
      </c>
      <c r="G76" s="3" t="s">
        <v>19</v>
      </c>
      <c r="H76" s="3" t="s">
        <v>39</v>
      </c>
      <c r="I76" s="3" t="s">
        <v>21</v>
      </c>
      <c r="J76" s="3" t="s">
        <v>22</v>
      </c>
      <c r="K76" s="3" t="s">
        <v>23</v>
      </c>
      <c r="L76" s="3">
        <v>2</v>
      </c>
      <c r="M76" s="3">
        <v>5</v>
      </c>
      <c r="N76" s="4">
        <v>44482</v>
      </c>
      <c r="O76" s="54">
        <v>0.51041666666666663</v>
      </c>
      <c r="P76" s="5" t="b">
        <v>0</v>
      </c>
      <c r="Q76" s="7">
        <f>E76</f>
        <v>75</v>
      </c>
      <c r="R76" s="7"/>
      <c r="S76" s="7"/>
      <c r="T76" s="7"/>
      <c r="U76" s="3"/>
      <c r="AA76" s="3"/>
      <c r="AB76" s="3"/>
      <c r="AC76" t="s">
        <v>894</v>
      </c>
      <c r="AD76" t="s">
        <v>894</v>
      </c>
      <c r="AE76" t="s">
        <v>894</v>
      </c>
      <c r="AF76" t="s">
        <v>895</v>
      </c>
    </row>
    <row r="77" spans="1:32" x14ac:dyDescent="0.35">
      <c r="A77" s="3" t="str">
        <f t="shared" si="1"/>
        <v>Sto_WS_OT</v>
      </c>
      <c r="B77" s="3">
        <v>8</v>
      </c>
      <c r="C77" s="3">
        <v>3</v>
      </c>
      <c r="D77" s="3" t="s">
        <v>17</v>
      </c>
      <c r="E77" s="3">
        <v>75</v>
      </c>
      <c r="F77" s="3" t="s">
        <v>76</v>
      </c>
      <c r="G77" s="3" t="s">
        <v>19</v>
      </c>
      <c r="H77" s="3" t="s">
        <v>39</v>
      </c>
      <c r="I77" s="3" t="s">
        <v>21</v>
      </c>
      <c r="J77" s="3" t="s">
        <v>35</v>
      </c>
      <c r="K77" s="3" t="s">
        <v>23</v>
      </c>
      <c r="L77" s="3">
        <v>2</v>
      </c>
      <c r="M77" s="3">
        <v>5</v>
      </c>
      <c r="N77" s="4">
        <v>44482</v>
      </c>
      <c r="O77" s="54">
        <v>0.51041666666666663</v>
      </c>
      <c r="P77" s="5" t="b">
        <v>1</v>
      </c>
      <c r="Q77" s="7">
        <v>76</v>
      </c>
      <c r="R77" s="7">
        <v>16</v>
      </c>
      <c r="S77" s="7"/>
      <c r="T77" s="7"/>
      <c r="U77" s="3"/>
      <c r="AA77" s="3"/>
      <c r="AB77" s="3" t="s">
        <v>325</v>
      </c>
      <c r="AC77" s="3"/>
      <c r="AD77" s="3"/>
      <c r="AE77" s="3"/>
    </row>
    <row r="78" spans="1:32" x14ac:dyDescent="0.35">
      <c r="A78" s="3" t="str">
        <f t="shared" si="1"/>
        <v>Wen_WS_OT</v>
      </c>
      <c r="B78" s="3">
        <v>9</v>
      </c>
      <c r="C78" s="3">
        <v>3</v>
      </c>
      <c r="D78" s="3" t="s">
        <v>17</v>
      </c>
      <c r="E78" s="3">
        <v>77</v>
      </c>
      <c r="F78" s="3" t="s">
        <v>77</v>
      </c>
      <c r="G78" s="3" t="s">
        <v>19</v>
      </c>
      <c r="H78" s="3" t="s">
        <v>39</v>
      </c>
      <c r="I78" s="3" t="s">
        <v>25</v>
      </c>
      <c r="J78" s="3" t="s">
        <v>26</v>
      </c>
      <c r="K78" s="3" t="s">
        <v>27</v>
      </c>
      <c r="L78" s="3">
        <v>2</v>
      </c>
      <c r="M78" s="3">
        <v>2</v>
      </c>
      <c r="N78" s="4">
        <v>44481</v>
      </c>
      <c r="O78" s="4"/>
      <c r="P78" s="5" t="b">
        <v>0</v>
      </c>
      <c r="Q78" s="7">
        <f>E78</f>
        <v>77</v>
      </c>
      <c r="R78" s="7"/>
      <c r="S78" s="7"/>
      <c r="T78" s="7"/>
      <c r="U78" s="3"/>
      <c r="AA78" s="3"/>
      <c r="AB78" s="3" t="s">
        <v>326</v>
      </c>
      <c r="AC78" s="3" t="s">
        <v>896</v>
      </c>
      <c r="AD78" s="3" t="s">
        <v>896</v>
      </c>
      <c r="AE78" s="3" t="s">
        <v>896</v>
      </c>
    </row>
    <row r="79" spans="1:32" x14ac:dyDescent="0.35">
      <c r="A79" s="3" t="str">
        <f t="shared" si="1"/>
        <v>Wen_WS_OT</v>
      </c>
      <c r="B79" s="3">
        <v>9</v>
      </c>
      <c r="C79" s="3">
        <v>3</v>
      </c>
      <c r="D79" s="3" t="s">
        <v>17</v>
      </c>
      <c r="E79" s="3">
        <v>77</v>
      </c>
      <c r="F79" s="3" t="s">
        <v>77</v>
      </c>
      <c r="G79" s="3" t="s">
        <v>19</v>
      </c>
      <c r="H79" s="3" t="s">
        <v>39</v>
      </c>
      <c r="I79" s="3" t="s">
        <v>25</v>
      </c>
      <c r="J79" s="3" t="s">
        <v>28</v>
      </c>
      <c r="K79" s="3" t="s">
        <v>27</v>
      </c>
      <c r="L79" s="3">
        <v>2</v>
      </c>
      <c r="M79" s="3">
        <v>2</v>
      </c>
      <c r="N79" s="4">
        <v>44481</v>
      </c>
      <c r="O79" s="4"/>
      <c r="P79" s="5" t="b">
        <v>1</v>
      </c>
      <c r="Q79" s="7">
        <v>78</v>
      </c>
      <c r="R79" s="7"/>
      <c r="S79" s="7"/>
      <c r="T79" s="7"/>
      <c r="U79" s="3"/>
      <c r="Z79" t="s">
        <v>302</v>
      </c>
      <c r="AA79" s="3"/>
      <c r="AB79" s="3"/>
      <c r="AC79" s="3"/>
      <c r="AD79" s="3"/>
      <c r="AE79" s="3"/>
    </row>
    <row r="80" spans="1:32" x14ac:dyDescent="0.35">
      <c r="A80" s="3" t="str">
        <f t="shared" si="1"/>
        <v>Sto_WW_OT</v>
      </c>
      <c r="B80" s="3">
        <v>10</v>
      </c>
      <c r="C80" s="3">
        <v>3</v>
      </c>
      <c r="D80" s="3" t="s">
        <v>17</v>
      </c>
      <c r="E80" s="3">
        <v>79</v>
      </c>
      <c r="F80" s="3" t="s">
        <v>78</v>
      </c>
      <c r="G80" s="3" t="s">
        <v>19</v>
      </c>
      <c r="H80" s="3" t="s">
        <v>20</v>
      </c>
      <c r="I80" s="3" t="s">
        <v>21</v>
      </c>
      <c r="J80" s="3" t="s">
        <v>22</v>
      </c>
      <c r="K80" s="3" t="s">
        <v>23</v>
      </c>
      <c r="L80" s="3">
        <v>2</v>
      </c>
      <c r="M80" s="3">
        <v>5</v>
      </c>
      <c r="N80" s="4">
        <v>44482</v>
      </c>
      <c r="O80" s="54">
        <v>0.51041666666666663</v>
      </c>
      <c r="P80" s="5" t="b">
        <v>0</v>
      </c>
      <c r="Q80" s="7">
        <f>E80</f>
        <v>79</v>
      </c>
      <c r="R80" s="7"/>
      <c r="S80" s="7"/>
      <c r="T80" s="7"/>
      <c r="U80" s="3"/>
      <c r="Y80" t="s">
        <v>302</v>
      </c>
      <c r="AA80" s="3"/>
      <c r="AB80" s="3"/>
      <c r="AC80" t="s">
        <v>894</v>
      </c>
      <c r="AD80" t="s">
        <v>894</v>
      </c>
      <c r="AE80" t="s">
        <v>894</v>
      </c>
      <c r="AF80" t="s">
        <v>895</v>
      </c>
    </row>
    <row r="81" spans="1:32" x14ac:dyDescent="0.35">
      <c r="A81" s="3" t="str">
        <f t="shared" si="1"/>
        <v>Sto_WW_OT</v>
      </c>
      <c r="B81" s="3">
        <v>10</v>
      </c>
      <c r="C81" s="3">
        <v>3</v>
      </c>
      <c r="D81" s="3" t="s">
        <v>17</v>
      </c>
      <c r="E81" s="3">
        <v>79</v>
      </c>
      <c r="F81" s="3" t="s">
        <v>78</v>
      </c>
      <c r="G81" s="3" t="s">
        <v>19</v>
      </c>
      <c r="H81" s="3" t="s">
        <v>20</v>
      </c>
      <c r="I81" s="3" t="s">
        <v>21</v>
      </c>
      <c r="J81" s="3" t="s">
        <v>35</v>
      </c>
      <c r="K81" s="3" t="s">
        <v>23</v>
      </c>
      <c r="L81" s="3">
        <v>2</v>
      </c>
      <c r="M81" s="3">
        <v>5</v>
      </c>
      <c r="N81" s="4">
        <v>44482</v>
      </c>
      <c r="O81" s="54">
        <v>0.51041666666666663</v>
      </c>
      <c r="P81" s="5" t="b">
        <v>1</v>
      </c>
      <c r="Q81" s="7">
        <v>80</v>
      </c>
      <c r="R81" s="7"/>
      <c r="S81" s="7"/>
      <c r="T81" s="7"/>
      <c r="U81" s="3"/>
      <c r="AA81" s="3" t="s">
        <v>214</v>
      </c>
      <c r="AB81" s="3"/>
      <c r="AC81" s="3"/>
      <c r="AD81" s="3"/>
      <c r="AE81" s="3"/>
    </row>
    <row r="82" spans="1:32" x14ac:dyDescent="0.35">
      <c r="A82" s="3" t="str">
        <f t="shared" si="1"/>
        <v>Sto_WS_OT</v>
      </c>
      <c r="B82" s="3">
        <v>11</v>
      </c>
      <c r="C82" s="3">
        <v>3</v>
      </c>
      <c r="D82" s="3" t="s">
        <v>17</v>
      </c>
      <c r="E82" s="3">
        <v>81</v>
      </c>
      <c r="F82" s="3" t="s">
        <v>79</v>
      </c>
      <c r="G82" s="3" t="s">
        <v>19</v>
      </c>
      <c r="H82" s="3" t="s">
        <v>39</v>
      </c>
      <c r="I82" s="3" t="s">
        <v>21</v>
      </c>
      <c r="J82" s="3" t="s">
        <v>26</v>
      </c>
      <c r="K82" s="3" t="s">
        <v>27</v>
      </c>
      <c r="L82" s="3">
        <v>2</v>
      </c>
      <c r="M82" s="3">
        <v>3</v>
      </c>
      <c r="N82" s="4">
        <v>44482</v>
      </c>
      <c r="O82" s="4"/>
      <c r="P82" s="5" t="b">
        <v>0</v>
      </c>
      <c r="Q82" s="7">
        <f>E82</f>
        <v>81</v>
      </c>
      <c r="R82" s="7"/>
      <c r="S82" s="7"/>
      <c r="T82" s="7"/>
      <c r="U82" s="3"/>
      <c r="AA82" s="3"/>
      <c r="AB82" s="3" t="s">
        <v>326</v>
      </c>
      <c r="AC82" s="3" t="s">
        <v>896</v>
      </c>
      <c r="AD82" s="3" t="s">
        <v>896</v>
      </c>
      <c r="AE82" s="3" t="s">
        <v>896</v>
      </c>
    </row>
    <row r="83" spans="1:32" x14ac:dyDescent="0.35">
      <c r="A83" s="3" t="str">
        <f t="shared" si="1"/>
        <v>Sto_WS_OT</v>
      </c>
      <c r="B83" s="3">
        <v>11</v>
      </c>
      <c r="C83" s="3">
        <v>3</v>
      </c>
      <c r="D83" s="3" t="s">
        <v>17</v>
      </c>
      <c r="E83" s="3">
        <v>81</v>
      </c>
      <c r="F83" s="3" t="s">
        <v>79</v>
      </c>
      <c r="G83" s="3" t="s">
        <v>19</v>
      </c>
      <c r="H83" s="3" t="s">
        <v>39</v>
      </c>
      <c r="I83" s="3" t="s">
        <v>21</v>
      </c>
      <c r="J83" s="3" t="s">
        <v>28</v>
      </c>
      <c r="K83" s="3" t="s">
        <v>27</v>
      </c>
      <c r="L83" s="3">
        <v>2</v>
      </c>
      <c r="M83" s="3">
        <v>3</v>
      </c>
      <c r="N83" s="4">
        <v>44482</v>
      </c>
      <c r="O83" s="4"/>
      <c r="P83" s="5" t="b">
        <v>1</v>
      </c>
      <c r="Q83" s="7">
        <v>82</v>
      </c>
      <c r="R83" s="7"/>
      <c r="S83" s="7"/>
      <c r="T83" s="7"/>
      <c r="U83" s="3"/>
      <c r="Z83" t="s">
        <v>302</v>
      </c>
      <c r="AA83" s="3"/>
      <c r="AB83" s="3"/>
      <c r="AC83" s="3"/>
      <c r="AD83" s="3"/>
      <c r="AE83" s="3"/>
    </row>
    <row r="84" spans="1:32" x14ac:dyDescent="0.35">
      <c r="A84" s="3" t="str">
        <f t="shared" si="1"/>
        <v>Wen_WW_OT</v>
      </c>
      <c r="B84" s="3">
        <v>12</v>
      </c>
      <c r="C84" s="3">
        <v>3</v>
      </c>
      <c r="D84" s="3" t="s">
        <v>17</v>
      </c>
      <c r="E84" s="3">
        <v>83</v>
      </c>
      <c r="F84" s="3" t="s">
        <v>80</v>
      </c>
      <c r="G84" s="3" t="s">
        <v>19</v>
      </c>
      <c r="H84" s="3" t="s">
        <v>20</v>
      </c>
      <c r="I84" s="3" t="s">
        <v>25</v>
      </c>
      <c r="J84" s="3" t="s">
        <v>22</v>
      </c>
      <c r="K84" s="3" t="s">
        <v>23</v>
      </c>
      <c r="L84" s="3">
        <v>2</v>
      </c>
      <c r="M84" s="3">
        <v>5</v>
      </c>
      <c r="N84" s="4">
        <v>44482</v>
      </c>
      <c r="O84" s="54">
        <v>0.51041666666666663</v>
      </c>
      <c r="P84" s="5" t="b">
        <v>0</v>
      </c>
      <c r="Q84" s="7">
        <f>E84</f>
        <v>83</v>
      </c>
      <c r="R84" s="7"/>
      <c r="S84" s="7"/>
      <c r="T84" s="7"/>
      <c r="U84" s="3"/>
      <c r="AA84" s="3"/>
      <c r="AB84" s="3"/>
      <c r="AC84" t="s">
        <v>894</v>
      </c>
      <c r="AD84" t="s">
        <v>894</v>
      </c>
      <c r="AE84" t="s">
        <v>894</v>
      </c>
      <c r="AF84" t="s">
        <v>895</v>
      </c>
    </row>
    <row r="85" spans="1:32" x14ac:dyDescent="0.35">
      <c r="A85" s="3" t="str">
        <f t="shared" si="1"/>
        <v>Wen_WW_OT</v>
      </c>
      <c r="B85" s="3">
        <v>12</v>
      </c>
      <c r="C85" s="3">
        <v>3</v>
      </c>
      <c r="D85" s="3" t="s">
        <v>17</v>
      </c>
      <c r="E85" s="3">
        <v>83</v>
      </c>
      <c r="F85" s="3" t="s">
        <v>80</v>
      </c>
      <c r="G85" s="3" t="s">
        <v>19</v>
      </c>
      <c r="H85" s="3" t="s">
        <v>20</v>
      </c>
      <c r="I85" s="3" t="s">
        <v>25</v>
      </c>
      <c r="J85" s="3" t="s">
        <v>35</v>
      </c>
      <c r="K85" s="3" t="s">
        <v>23</v>
      </c>
      <c r="L85" s="3">
        <v>2</v>
      </c>
      <c r="M85" s="3">
        <v>5</v>
      </c>
      <c r="N85" s="4">
        <v>44482</v>
      </c>
      <c r="O85" s="54">
        <v>0.51041666666666663</v>
      </c>
      <c r="P85" s="5" t="b">
        <v>1</v>
      </c>
      <c r="Q85" s="7">
        <v>84</v>
      </c>
      <c r="R85" s="7">
        <v>1</v>
      </c>
      <c r="S85" s="7"/>
      <c r="T85" s="7"/>
      <c r="U85" s="3"/>
      <c r="Z85" t="s">
        <v>302</v>
      </c>
      <c r="AA85" s="3"/>
      <c r="AB85" s="3" t="s">
        <v>325</v>
      </c>
      <c r="AC85" s="3"/>
      <c r="AD85" s="3"/>
      <c r="AE85" s="3"/>
    </row>
    <row r="86" spans="1:32" x14ac:dyDescent="0.35">
      <c r="A86" s="3" t="str">
        <f t="shared" si="1"/>
        <v>Sto_WW_OT</v>
      </c>
      <c r="B86" s="3">
        <v>13</v>
      </c>
      <c r="C86" s="3">
        <v>3</v>
      </c>
      <c r="D86" s="3" t="s">
        <v>17</v>
      </c>
      <c r="E86" s="3">
        <v>85</v>
      </c>
      <c r="F86" s="3" t="s">
        <v>81</v>
      </c>
      <c r="G86" s="3" t="s">
        <v>19</v>
      </c>
      <c r="H86" s="3" t="s">
        <v>20</v>
      </c>
      <c r="I86" s="3" t="s">
        <v>21</v>
      </c>
      <c r="J86" s="3" t="s">
        <v>26</v>
      </c>
      <c r="K86" s="3" t="s">
        <v>27</v>
      </c>
      <c r="L86" s="3">
        <v>2</v>
      </c>
      <c r="M86" s="3">
        <v>3</v>
      </c>
      <c r="N86" s="4">
        <v>44482</v>
      </c>
      <c r="O86" s="4"/>
      <c r="P86" s="5" t="b">
        <v>0</v>
      </c>
      <c r="Q86" s="7">
        <f>E86</f>
        <v>85</v>
      </c>
      <c r="R86" s="7"/>
      <c r="S86" s="7"/>
      <c r="T86" s="7"/>
      <c r="U86" s="3"/>
      <c r="AA86" s="3"/>
      <c r="AB86" s="3" t="s">
        <v>326</v>
      </c>
      <c r="AC86" s="3" t="s">
        <v>896</v>
      </c>
      <c r="AD86" s="3" t="s">
        <v>896</v>
      </c>
      <c r="AE86" s="3" t="s">
        <v>896</v>
      </c>
    </row>
    <row r="87" spans="1:32" x14ac:dyDescent="0.35">
      <c r="A87" s="3" t="str">
        <f t="shared" si="1"/>
        <v>Sto_WW_OT</v>
      </c>
      <c r="B87" s="3">
        <v>13</v>
      </c>
      <c r="C87" s="3">
        <v>3</v>
      </c>
      <c r="D87" s="3" t="s">
        <v>17</v>
      </c>
      <c r="E87" s="3">
        <v>85</v>
      </c>
      <c r="F87" s="3" t="s">
        <v>81</v>
      </c>
      <c r="G87" s="3" t="s">
        <v>19</v>
      </c>
      <c r="H87" s="3" t="s">
        <v>20</v>
      </c>
      <c r="I87" s="3" t="s">
        <v>21</v>
      </c>
      <c r="J87" s="3" t="s">
        <v>28</v>
      </c>
      <c r="K87" s="3" t="s">
        <v>27</v>
      </c>
      <c r="L87" s="3">
        <v>2</v>
      </c>
      <c r="M87" s="3">
        <v>3</v>
      </c>
      <c r="N87" s="4">
        <v>44482</v>
      </c>
      <c r="O87" s="4"/>
      <c r="P87" s="5" t="b">
        <v>1</v>
      </c>
      <c r="Q87" s="7">
        <v>86</v>
      </c>
      <c r="R87" s="7"/>
      <c r="S87" s="7"/>
      <c r="T87" s="7"/>
      <c r="U87" s="3"/>
      <c r="Z87" t="s">
        <v>302</v>
      </c>
      <c r="AA87" s="3"/>
      <c r="AB87" s="3"/>
      <c r="AC87" s="3"/>
      <c r="AD87" s="3"/>
      <c r="AE87" s="3"/>
    </row>
    <row r="88" spans="1:32" x14ac:dyDescent="0.35">
      <c r="A88" s="3" t="str">
        <f t="shared" si="1"/>
        <v>Wen_WS_OT</v>
      </c>
      <c r="B88" s="3">
        <v>14</v>
      </c>
      <c r="C88" s="3">
        <v>3</v>
      </c>
      <c r="D88" s="3" t="s">
        <v>17</v>
      </c>
      <c r="E88" s="3">
        <v>87</v>
      </c>
      <c r="F88" s="3" t="s">
        <v>82</v>
      </c>
      <c r="G88" s="3" t="s">
        <v>19</v>
      </c>
      <c r="H88" s="3" t="s">
        <v>39</v>
      </c>
      <c r="I88" s="3" t="s">
        <v>25</v>
      </c>
      <c r="J88" s="3" t="s">
        <v>22</v>
      </c>
      <c r="K88" s="3" t="s">
        <v>23</v>
      </c>
      <c r="L88" s="3">
        <v>2</v>
      </c>
      <c r="M88" s="3">
        <v>5</v>
      </c>
      <c r="N88" s="4">
        <v>44482</v>
      </c>
      <c r="O88" s="54">
        <v>0.51041666666666663</v>
      </c>
      <c r="P88" s="5" t="b">
        <v>0</v>
      </c>
      <c r="Q88" s="7">
        <f>E88</f>
        <v>87</v>
      </c>
      <c r="R88" s="7"/>
      <c r="S88" s="7"/>
      <c r="T88" s="7"/>
      <c r="U88" s="3"/>
      <c r="Y88" t="s">
        <v>302</v>
      </c>
      <c r="AA88" s="3" t="s">
        <v>330</v>
      </c>
      <c r="AC88" t="s">
        <v>889</v>
      </c>
      <c r="AD88" t="s">
        <v>889</v>
      </c>
      <c r="AE88" t="s">
        <v>889</v>
      </c>
      <c r="AF88" t="s">
        <v>895</v>
      </c>
    </row>
    <row r="89" spans="1:32" x14ac:dyDescent="0.35">
      <c r="A89" s="3" t="str">
        <f t="shared" si="1"/>
        <v>Wen_WS_OT</v>
      </c>
      <c r="B89" s="3">
        <v>14</v>
      </c>
      <c r="C89" s="3">
        <v>3</v>
      </c>
      <c r="D89" s="3" t="s">
        <v>17</v>
      </c>
      <c r="E89" s="3">
        <v>87</v>
      </c>
      <c r="F89" s="3" t="s">
        <v>82</v>
      </c>
      <c r="G89" s="3" t="s">
        <v>19</v>
      </c>
      <c r="H89" s="3" t="s">
        <v>39</v>
      </c>
      <c r="I89" s="3" t="s">
        <v>25</v>
      </c>
      <c r="J89" s="3" t="s">
        <v>35</v>
      </c>
      <c r="K89" s="3" t="s">
        <v>23</v>
      </c>
      <c r="L89" s="3">
        <v>2</v>
      </c>
      <c r="M89" s="3">
        <v>5</v>
      </c>
      <c r="N89" s="4">
        <v>44482</v>
      </c>
      <c r="O89" s="54">
        <v>0.51041666666666663</v>
      </c>
      <c r="P89" s="5" t="b">
        <v>1</v>
      </c>
      <c r="Q89" s="7">
        <v>88</v>
      </c>
      <c r="R89" s="7">
        <v>9</v>
      </c>
      <c r="S89" s="7"/>
      <c r="T89" s="7"/>
      <c r="U89" s="3"/>
      <c r="AA89" s="3"/>
      <c r="AB89" s="3" t="s">
        <v>325</v>
      </c>
      <c r="AC89" s="3"/>
      <c r="AD89" s="3"/>
      <c r="AE89" s="3"/>
    </row>
    <row r="90" spans="1:32" x14ac:dyDescent="0.35">
      <c r="A90" s="3" t="str">
        <f t="shared" si="1"/>
        <v>Wen_WW_OT</v>
      </c>
      <c r="B90" s="3">
        <v>15</v>
      </c>
      <c r="C90" s="3">
        <v>3</v>
      </c>
      <c r="D90" s="3" t="s">
        <v>17</v>
      </c>
      <c r="E90" s="3">
        <v>89</v>
      </c>
      <c r="F90" s="3" t="s">
        <v>83</v>
      </c>
      <c r="G90" s="3" t="s">
        <v>19</v>
      </c>
      <c r="H90" s="3" t="s">
        <v>20</v>
      </c>
      <c r="I90" s="3" t="s">
        <v>25</v>
      </c>
      <c r="J90" s="3" t="s">
        <v>26</v>
      </c>
      <c r="K90" s="3" t="s">
        <v>27</v>
      </c>
      <c r="L90" s="3">
        <v>2</v>
      </c>
      <c r="M90" s="3">
        <v>3</v>
      </c>
      <c r="N90" s="4">
        <v>44482</v>
      </c>
      <c r="O90" s="4"/>
      <c r="P90" s="5" t="b">
        <v>0</v>
      </c>
      <c r="Q90" s="7">
        <f>E90</f>
        <v>89</v>
      </c>
      <c r="R90" s="7"/>
      <c r="S90" s="7"/>
      <c r="T90" s="7" t="s">
        <v>302</v>
      </c>
      <c r="U90" s="3"/>
      <c r="AA90" s="3"/>
      <c r="AB90" s="3" t="s">
        <v>326</v>
      </c>
      <c r="AC90" s="3" t="s">
        <v>896</v>
      </c>
      <c r="AD90" s="3" t="s">
        <v>896</v>
      </c>
      <c r="AE90" s="3" t="s">
        <v>896</v>
      </c>
    </row>
    <row r="91" spans="1:32" x14ac:dyDescent="0.35">
      <c r="A91" s="3" t="str">
        <f t="shared" si="1"/>
        <v>Wen_WW_OT</v>
      </c>
      <c r="B91" s="3">
        <v>15</v>
      </c>
      <c r="C91" s="3">
        <v>3</v>
      </c>
      <c r="D91" s="3" t="s">
        <v>17</v>
      </c>
      <c r="E91" s="3">
        <v>89</v>
      </c>
      <c r="F91" s="3" t="s">
        <v>83</v>
      </c>
      <c r="G91" s="3" t="s">
        <v>19</v>
      </c>
      <c r="H91" s="3" t="s">
        <v>20</v>
      </c>
      <c r="I91" s="3" t="s">
        <v>25</v>
      </c>
      <c r="J91" s="3" t="s">
        <v>28</v>
      </c>
      <c r="K91" s="3" t="s">
        <v>27</v>
      </c>
      <c r="L91" s="3">
        <v>2</v>
      </c>
      <c r="M91" s="3">
        <v>3</v>
      </c>
      <c r="N91" s="4">
        <v>44482</v>
      </c>
      <c r="O91" s="4"/>
      <c r="P91" s="5" t="b">
        <v>1</v>
      </c>
      <c r="Q91" s="7">
        <v>90</v>
      </c>
      <c r="R91" s="7"/>
      <c r="S91" s="7"/>
      <c r="T91" s="7"/>
      <c r="U91" s="3"/>
      <c r="Z91" t="s">
        <v>302</v>
      </c>
      <c r="AA91" s="3"/>
      <c r="AB91" s="3"/>
      <c r="AC91" s="3"/>
      <c r="AD91" s="3"/>
      <c r="AE91" s="3"/>
    </row>
    <row r="92" spans="1:32" x14ac:dyDescent="0.35">
      <c r="A92" s="3" t="str">
        <f t="shared" si="1"/>
        <v>Sto_WS_OT</v>
      </c>
      <c r="B92" s="3">
        <v>16</v>
      </c>
      <c r="C92" s="3">
        <v>3</v>
      </c>
      <c r="D92" s="3" t="s">
        <v>17</v>
      </c>
      <c r="E92" s="3">
        <v>91</v>
      </c>
      <c r="F92" s="3" t="s">
        <v>84</v>
      </c>
      <c r="G92" s="3" t="s">
        <v>19</v>
      </c>
      <c r="H92" s="3" t="s">
        <v>39</v>
      </c>
      <c r="I92" s="3" t="s">
        <v>21</v>
      </c>
      <c r="J92" s="3" t="s">
        <v>22</v>
      </c>
      <c r="K92" s="3" t="s">
        <v>23</v>
      </c>
      <c r="L92" s="3">
        <v>2</v>
      </c>
      <c r="M92" s="3">
        <v>6</v>
      </c>
      <c r="N92" s="4">
        <v>44482</v>
      </c>
      <c r="O92" s="54">
        <v>0.51041666666666663</v>
      </c>
      <c r="P92" s="5" t="b">
        <v>0</v>
      </c>
      <c r="Q92" s="7">
        <f>E92</f>
        <v>91</v>
      </c>
      <c r="R92" s="7"/>
      <c r="S92" s="7"/>
      <c r="T92" s="7"/>
      <c r="U92" s="3"/>
      <c r="Y92" t="s">
        <v>302</v>
      </c>
      <c r="AA92" s="3"/>
      <c r="AB92" s="3"/>
      <c r="AC92" t="s">
        <v>894</v>
      </c>
      <c r="AD92" t="s">
        <v>894</v>
      </c>
      <c r="AE92" t="s">
        <v>894</v>
      </c>
      <c r="AF92" t="s">
        <v>895</v>
      </c>
    </row>
    <row r="93" spans="1:32" x14ac:dyDescent="0.35">
      <c r="A93" s="3" t="str">
        <f t="shared" si="1"/>
        <v>Sto_WS_OT</v>
      </c>
      <c r="B93" s="3">
        <v>16</v>
      </c>
      <c r="C93" s="3">
        <v>3</v>
      </c>
      <c r="D93" s="3" t="s">
        <v>17</v>
      </c>
      <c r="E93" s="3">
        <v>91</v>
      </c>
      <c r="F93" s="3" t="s">
        <v>84</v>
      </c>
      <c r="G93" s="3" t="s">
        <v>19</v>
      </c>
      <c r="H93" s="3" t="s">
        <v>39</v>
      </c>
      <c r="I93" s="3" t="s">
        <v>21</v>
      </c>
      <c r="J93" s="3" t="s">
        <v>35</v>
      </c>
      <c r="K93" s="3" t="s">
        <v>23</v>
      </c>
      <c r="L93" s="3">
        <v>2</v>
      </c>
      <c r="M93" s="3">
        <v>6</v>
      </c>
      <c r="N93" s="4">
        <v>44482</v>
      </c>
      <c r="O93" s="54">
        <v>0.51041666666666663</v>
      </c>
      <c r="P93" s="5" t="b">
        <v>1</v>
      </c>
      <c r="Q93" s="7">
        <v>92</v>
      </c>
      <c r="R93" s="7">
        <v>15</v>
      </c>
      <c r="S93" s="7"/>
      <c r="T93" s="7"/>
      <c r="U93" s="3"/>
      <c r="Z93" t="s">
        <v>302</v>
      </c>
      <c r="AA93" s="3"/>
      <c r="AB93" s="3" t="s">
        <v>325</v>
      </c>
      <c r="AC93" s="3"/>
      <c r="AD93" s="3"/>
      <c r="AE93" s="3"/>
    </row>
    <row r="94" spans="1:32" x14ac:dyDescent="0.35">
      <c r="A94" s="3" t="str">
        <f t="shared" si="1"/>
        <v>Sto_WW_OT</v>
      </c>
      <c r="B94" s="3">
        <v>17</v>
      </c>
      <c r="C94" s="3">
        <v>3</v>
      </c>
      <c r="D94" s="3" t="s">
        <v>17</v>
      </c>
      <c r="E94" s="3">
        <v>93</v>
      </c>
      <c r="F94" s="3" t="s">
        <v>85</v>
      </c>
      <c r="G94" s="3" t="s">
        <v>19</v>
      </c>
      <c r="H94" s="3" t="s">
        <v>20</v>
      </c>
      <c r="I94" s="3" t="s">
        <v>21</v>
      </c>
      <c r="J94" s="3" t="s">
        <v>22</v>
      </c>
      <c r="K94" s="3" t="s">
        <v>23</v>
      </c>
      <c r="L94" s="3">
        <v>2</v>
      </c>
      <c r="M94" s="3">
        <v>6</v>
      </c>
      <c r="N94" s="4">
        <v>44483</v>
      </c>
      <c r="O94" s="54">
        <v>0.34375</v>
      </c>
      <c r="P94" s="5" t="b">
        <v>0</v>
      </c>
      <c r="Q94" s="7">
        <f>E94</f>
        <v>93</v>
      </c>
      <c r="R94" s="7"/>
      <c r="S94" s="7"/>
      <c r="T94" s="7"/>
      <c r="U94" s="3"/>
      <c r="X94" t="s">
        <v>352</v>
      </c>
      <c r="AA94" s="3"/>
      <c r="AB94" s="3"/>
      <c r="AC94" t="s">
        <v>894</v>
      </c>
      <c r="AD94" t="s">
        <v>894</v>
      </c>
      <c r="AE94" t="s">
        <v>894</v>
      </c>
      <c r="AF94" t="s">
        <v>895</v>
      </c>
    </row>
    <row r="95" spans="1:32" x14ac:dyDescent="0.35">
      <c r="A95" s="3" t="str">
        <f t="shared" si="1"/>
        <v>Sto_WW_OT</v>
      </c>
      <c r="B95" s="3">
        <v>17</v>
      </c>
      <c r="C95" s="3">
        <v>3</v>
      </c>
      <c r="D95" s="3" t="s">
        <v>17</v>
      </c>
      <c r="E95" s="3">
        <v>93</v>
      </c>
      <c r="F95" s="3" t="s">
        <v>85</v>
      </c>
      <c r="G95" s="3" t="s">
        <v>19</v>
      </c>
      <c r="H95" s="3" t="s">
        <v>20</v>
      </c>
      <c r="I95" s="3" t="s">
        <v>21</v>
      </c>
      <c r="J95" s="3" t="s">
        <v>35</v>
      </c>
      <c r="K95" s="3" t="s">
        <v>23</v>
      </c>
      <c r="L95" s="3">
        <v>2</v>
      </c>
      <c r="M95" s="3">
        <v>6</v>
      </c>
      <c r="N95" s="4">
        <v>44483</v>
      </c>
      <c r="O95" s="54">
        <v>0.34375</v>
      </c>
      <c r="P95" s="5" t="b">
        <v>1</v>
      </c>
      <c r="Q95" s="7">
        <v>94</v>
      </c>
      <c r="R95" s="7">
        <v>8</v>
      </c>
      <c r="S95" s="7"/>
      <c r="T95" s="7"/>
      <c r="U95" s="3"/>
      <c r="AA95" s="3"/>
      <c r="AB95" s="3" t="s">
        <v>325</v>
      </c>
      <c r="AC95" s="3"/>
      <c r="AD95" s="3"/>
      <c r="AE95" s="3"/>
    </row>
    <row r="96" spans="1:32" x14ac:dyDescent="0.35">
      <c r="A96" s="3" t="str">
        <f t="shared" si="1"/>
        <v>Wen_WS_OT</v>
      </c>
      <c r="B96" s="3">
        <v>18</v>
      </c>
      <c r="C96" s="3">
        <v>3</v>
      </c>
      <c r="D96" s="3" t="s">
        <v>17</v>
      </c>
      <c r="E96" s="3">
        <v>95</v>
      </c>
      <c r="F96" s="3" t="s">
        <v>86</v>
      </c>
      <c r="G96" s="3" t="s">
        <v>19</v>
      </c>
      <c r="H96" s="3" t="s">
        <v>39</v>
      </c>
      <c r="I96" s="3" t="s">
        <v>25</v>
      </c>
      <c r="J96" s="3" t="s">
        <v>26</v>
      </c>
      <c r="K96" s="3" t="s">
        <v>27</v>
      </c>
      <c r="L96" s="3">
        <v>2</v>
      </c>
      <c r="M96" s="3">
        <v>3</v>
      </c>
      <c r="N96" s="4">
        <v>44482</v>
      </c>
      <c r="O96" s="4"/>
      <c r="P96" s="5" t="b">
        <v>0</v>
      </c>
      <c r="Q96" s="7">
        <f>E96</f>
        <v>95</v>
      </c>
      <c r="R96" s="7"/>
      <c r="S96" s="7"/>
      <c r="T96" s="7"/>
      <c r="U96" s="3"/>
      <c r="AA96" s="3"/>
      <c r="AB96" s="3" t="s">
        <v>326</v>
      </c>
      <c r="AC96" s="3" t="s">
        <v>896</v>
      </c>
      <c r="AD96" s="3" t="s">
        <v>896</v>
      </c>
      <c r="AE96" s="3" t="s">
        <v>896</v>
      </c>
    </row>
    <row r="97" spans="1:32" x14ac:dyDescent="0.35">
      <c r="A97" s="3" t="str">
        <f t="shared" si="1"/>
        <v>Wen_WS_OT</v>
      </c>
      <c r="B97" s="3">
        <v>18</v>
      </c>
      <c r="C97" s="3">
        <v>3</v>
      </c>
      <c r="D97" s="3" t="s">
        <v>17</v>
      </c>
      <c r="E97" s="3">
        <v>95</v>
      </c>
      <c r="F97" s="3" t="s">
        <v>86</v>
      </c>
      <c r="G97" s="3" t="s">
        <v>19</v>
      </c>
      <c r="H97" s="3" t="s">
        <v>39</v>
      </c>
      <c r="I97" s="3" t="s">
        <v>25</v>
      </c>
      <c r="J97" s="3" t="s">
        <v>28</v>
      </c>
      <c r="K97" s="3" t="s">
        <v>27</v>
      </c>
      <c r="L97" s="3">
        <v>2</v>
      </c>
      <c r="M97" s="3">
        <v>3</v>
      </c>
      <c r="N97" s="4">
        <v>44482</v>
      </c>
      <c r="O97" s="4"/>
      <c r="P97" s="5" t="b">
        <v>1</v>
      </c>
      <c r="Q97" s="7">
        <v>96</v>
      </c>
      <c r="R97" s="7"/>
      <c r="S97" s="7"/>
      <c r="T97" s="7"/>
      <c r="U97" s="3"/>
      <c r="Z97" t="s">
        <v>302</v>
      </c>
      <c r="AA97" s="3"/>
      <c r="AB97" s="3"/>
      <c r="AC97" s="3"/>
      <c r="AD97" s="3"/>
      <c r="AE97" s="3"/>
    </row>
    <row r="98" spans="1:32" x14ac:dyDescent="0.35">
      <c r="A98" s="3" t="str">
        <f t="shared" si="1"/>
        <v>Wen_WW_OT</v>
      </c>
      <c r="B98" s="3">
        <v>19</v>
      </c>
      <c r="C98" s="3">
        <v>3</v>
      </c>
      <c r="D98" s="3" t="s">
        <v>17</v>
      </c>
      <c r="E98" s="3">
        <v>97</v>
      </c>
      <c r="F98" s="3" t="s">
        <v>87</v>
      </c>
      <c r="G98" s="3" t="s">
        <v>19</v>
      </c>
      <c r="H98" s="3" t="s">
        <v>20</v>
      </c>
      <c r="I98" s="3" t="s">
        <v>25</v>
      </c>
      <c r="J98" s="3"/>
      <c r="K98" s="3"/>
      <c r="L98" s="3"/>
      <c r="M98" s="3">
        <v>6</v>
      </c>
      <c r="N98" s="4"/>
      <c r="O98" s="4"/>
      <c r="P98" s="5" t="b">
        <v>0</v>
      </c>
      <c r="Q98" s="7">
        <f>E98</f>
        <v>97</v>
      </c>
      <c r="R98" s="7"/>
      <c r="S98" s="7"/>
      <c r="T98" s="7"/>
      <c r="U98" s="3" t="s">
        <v>88</v>
      </c>
      <c r="V98" t="s">
        <v>302</v>
      </c>
      <c r="W98" t="s">
        <v>302</v>
      </c>
      <c r="AA98" s="3" t="s">
        <v>218</v>
      </c>
      <c r="AB98" s="3"/>
      <c r="AC98" s="3"/>
      <c r="AD98" s="3"/>
      <c r="AE98" s="3"/>
      <c r="AF98" t="s">
        <v>895</v>
      </c>
    </row>
    <row r="99" spans="1:32" x14ac:dyDescent="0.35">
      <c r="A99" s="3" t="str">
        <f t="shared" si="1"/>
        <v>Wen_WW_OT</v>
      </c>
      <c r="B99" s="3">
        <v>19</v>
      </c>
      <c r="C99" s="3">
        <v>3</v>
      </c>
      <c r="D99" s="3" t="s">
        <v>17</v>
      </c>
      <c r="E99" s="3">
        <v>97</v>
      </c>
      <c r="F99" s="3" t="s">
        <v>87</v>
      </c>
      <c r="G99" s="3" t="s">
        <v>19</v>
      </c>
      <c r="H99" s="3" t="s">
        <v>20</v>
      </c>
      <c r="I99" s="3" t="s">
        <v>25</v>
      </c>
      <c r="J99" s="3" t="s">
        <v>35</v>
      </c>
      <c r="K99" s="3" t="s">
        <v>23</v>
      </c>
      <c r="L99" s="3">
        <v>2</v>
      </c>
      <c r="M99" s="3">
        <v>6</v>
      </c>
      <c r="N99" s="4">
        <v>44483</v>
      </c>
      <c r="O99" s="54">
        <v>0.72916666666666663</v>
      </c>
      <c r="P99" s="5" t="b">
        <v>1</v>
      </c>
      <c r="Q99" s="7">
        <v>98</v>
      </c>
      <c r="R99" s="7"/>
      <c r="S99" s="7"/>
      <c r="T99" s="7"/>
      <c r="U99" s="3" t="s">
        <v>89</v>
      </c>
      <c r="V99" t="s">
        <v>302</v>
      </c>
      <c r="AA99" s="3" t="s">
        <v>276</v>
      </c>
      <c r="AB99" s="3"/>
      <c r="AC99" s="3"/>
      <c r="AD99" s="3"/>
      <c r="AE99" s="3"/>
    </row>
    <row r="100" spans="1:32" x14ac:dyDescent="0.35">
      <c r="A100" s="3" t="str">
        <f t="shared" si="1"/>
        <v>Wen_WS_OT</v>
      </c>
      <c r="B100" s="3">
        <v>20</v>
      </c>
      <c r="C100" s="3">
        <v>3</v>
      </c>
      <c r="D100" s="3" t="s">
        <v>17</v>
      </c>
      <c r="E100" s="3">
        <v>99</v>
      </c>
      <c r="F100" s="3" t="s">
        <v>90</v>
      </c>
      <c r="G100" s="3" t="s">
        <v>19</v>
      </c>
      <c r="H100" s="3" t="s">
        <v>39</v>
      </c>
      <c r="I100" s="3" t="s">
        <v>25</v>
      </c>
      <c r="J100" s="3" t="s">
        <v>22</v>
      </c>
      <c r="K100" s="3" t="s">
        <v>23</v>
      </c>
      <c r="L100" s="3">
        <v>2</v>
      </c>
      <c r="M100" s="3">
        <v>6</v>
      </c>
      <c r="N100" s="4">
        <v>44483</v>
      </c>
      <c r="O100" s="54">
        <v>0.34375</v>
      </c>
      <c r="P100" s="5" t="b">
        <v>0</v>
      </c>
      <c r="Q100" s="7">
        <f>E100</f>
        <v>99</v>
      </c>
      <c r="R100" s="7"/>
      <c r="S100" s="7"/>
      <c r="T100" s="7"/>
      <c r="U100" s="3"/>
      <c r="AA100" s="3"/>
      <c r="AB100" s="3"/>
      <c r="AC100" t="s">
        <v>894</v>
      </c>
      <c r="AD100" t="s">
        <v>894</v>
      </c>
      <c r="AE100" t="s">
        <v>894</v>
      </c>
      <c r="AF100" t="s">
        <v>895</v>
      </c>
    </row>
    <row r="101" spans="1:32" x14ac:dyDescent="0.35">
      <c r="A101" s="3" t="str">
        <f t="shared" si="1"/>
        <v>Wen_WS_OT</v>
      </c>
      <c r="B101" s="3">
        <v>20</v>
      </c>
      <c r="C101" s="3">
        <v>3</v>
      </c>
      <c r="D101" s="3" t="s">
        <v>17</v>
      </c>
      <c r="E101" s="3">
        <v>99</v>
      </c>
      <c r="F101" s="3" t="s">
        <v>90</v>
      </c>
      <c r="G101" s="3" t="s">
        <v>19</v>
      </c>
      <c r="H101" s="3" t="s">
        <v>39</v>
      </c>
      <c r="I101" s="3" t="s">
        <v>25</v>
      </c>
      <c r="J101" s="3" t="s">
        <v>35</v>
      </c>
      <c r="K101" s="3" t="s">
        <v>23</v>
      </c>
      <c r="L101" s="3">
        <v>2</v>
      </c>
      <c r="M101" s="3">
        <v>6</v>
      </c>
      <c r="N101" s="4">
        <v>44483</v>
      </c>
      <c r="O101" s="54">
        <v>0.34375</v>
      </c>
      <c r="P101" s="5" t="b">
        <v>1</v>
      </c>
      <c r="Q101" s="7">
        <v>100</v>
      </c>
      <c r="R101" s="7">
        <v>11</v>
      </c>
      <c r="S101" s="7"/>
      <c r="T101" s="7"/>
      <c r="U101" s="3"/>
      <c r="Z101" t="s">
        <v>302</v>
      </c>
      <c r="AA101" s="3"/>
      <c r="AB101" s="3" t="s">
        <v>325</v>
      </c>
      <c r="AC101" s="3"/>
      <c r="AD101" s="3"/>
      <c r="AE101" s="3"/>
    </row>
    <row r="102" spans="1:32" x14ac:dyDescent="0.35">
      <c r="A102" s="3" t="str">
        <f t="shared" si="1"/>
        <v>Sto_WW_OT</v>
      </c>
      <c r="B102" s="3">
        <v>21</v>
      </c>
      <c r="C102" s="3">
        <v>3</v>
      </c>
      <c r="D102" s="3" t="s">
        <v>17</v>
      </c>
      <c r="E102" s="3">
        <v>101</v>
      </c>
      <c r="F102" s="3" t="s">
        <v>91</v>
      </c>
      <c r="G102" s="3" t="s">
        <v>19</v>
      </c>
      <c r="H102" s="3" t="s">
        <v>20</v>
      </c>
      <c r="I102" s="3" t="s">
        <v>21</v>
      </c>
      <c r="J102" s="3" t="s">
        <v>26</v>
      </c>
      <c r="K102" s="3" t="s">
        <v>27</v>
      </c>
      <c r="L102" s="3">
        <v>2</v>
      </c>
      <c r="M102" s="3"/>
      <c r="N102" s="4">
        <v>44482</v>
      </c>
      <c r="O102" s="4"/>
      <c r="P102" s="5" t="b">
        <v>0</v>
      </c>
      <c r="Q102" s="7">
        <f>E102</f>
        <v>101</v>
      </c>
      <c r="R102" s="7"/>
      <c r="S102" s="7"/>
      <c r="T102" s="7"/>
      <c r="U102" s="3"/>
      <c r="AA102" s="3"/>
      <c r="AB102" s="3" t="s">
        <v>326</v>
      </c>
      <c r="AC102" s="3" t="s">
        <v>896</v>
      </c>
      <c r="AD102" s="3" t="s">
        <v>896</v>
      </c>
      <c r="AE102" s="3" t="s">
        <v>896</v>
      </c>
    </row>
    <row r="103" spans="1:32" x14ac:dyDescent="0.35">
      <c r="A103" s="3" t="str">
        <f t="shared" si="1"/>
        <v>Sto_WW_OT</v>
      </c>
      <c r="B103" s="3">
        <v>21</v>
      </c>
      <c r="C103" s="3">
        <v>3</v>
      </c>
      <c r="D103" s="3" t="s">
        <v>17</v>
      </c>
      <c r="E103" s="3">
        <v>101</v>
      </c>
      <c r="F103" s="3" t="s">
        <v>91</v>
      </c>
      <c r="G103" s="3" t="s">
        <v>19</v>
      </c>
      <c r="H103" s="3" t="s">
        <v>20</v>
      </c>
      <c r="I103" s="3" t="s">
        <v>21</v>
      </c>
      <c r="J103" s="3" t="s">
        <v>28</v>
      </c>
      <c r="K103" s="3" t="s">
        <v>27</v>
      </c>
      <c r="L103" s="3">
        <v>2</v>
      </c>
      <c r="M103" s="3"/>
      <c r="N103" s="4">
        <v>44482</v>
      </c>
      <c r="O103" s="4"/>
      <c r="P103" s="5" t="b">
        <v>1</v>
      </c>
      <c r="Q103" s="7">
        <v>102</v>
      </c>
      <c r="R103" s="7"/>
      <c r="S103" s="7"/>
      <c r="T103" s="7"/>
      <c r="U103" s="3"/>
      <c r="Z103" t="s">
        <v>302</v>
      </c>
      <c r="AA103" s="3" t="s">
        <v>343</v>
      </c>
      <c r="AB103" s="3"/>
      <c r="AC103" s="3"/>
      <c r="AD103" s="3"/>
      <c r="AE103" s="3"/>
    </row>
    <row r="104" spans="1:32" x14ac:dyDescent="0.35">
      <c r="A104" s="3" t="str">
        <f t="shared" si="1"/>
        <v>Wen_WS_OT</v>
      </c>
      <c r="B104" s="3">
        <v>1</v>
      </c>
      <c r="C104" s="3">
        <v>2</v>
      </c>
      <c r="D104" s="3" t="s">
        <v>17</v>
      </c>
      <c r="E104" s="3">
        <v>103</v>
      </c>
      <c r="F104" s="3" t="s">
        <v>92</v>
      </c>
      <c r="G104" s="3" t="s">
        <v>19</v>
      </c>
      <c r="H104" s="3" t="s">
        <v>39</v>
      </c>
      <c r="I104" s="3" t="s">
        <v>25</v>
      </c>
      <c r="J104" s="3" t="s">
        <v>22</v>
      </c>
      <c r="K104" s="3" t="s">
        <v>23</v>
      </c>
      <c r="L104" s="3">
        <v>2</v>
      </c>
      <c r="M104" s="3">
        <v>7</v>
      </c>
      <c r="N104" s="4">
        <v>44483</v>
      </c>
      <c r="O104" s="54">
        <v>0.34375</v>
      </c>
      <c r="P104" s="5" t="b">
        <v>0</v>
      </c>
      <c r="Q104" s="7">
        <f>E104</f>
        <v>103</v>
      </c>
      <c r="R104" s="7"/>
      <c r="S104" s="7"/>
      <c r="T104" s="7"/>
      <c r="U104" s="3"/>
      <c r="AA104" s="3"/>
      <c r="AB104" s="3"/>
      <c r="AC104" t="s">
        <v>894</v>
      </c>
      <c r="AD104" t="s">
        <v>894</v>
      </c>
      <c r="AE104" t="s">
        <v>894</v>
      </c>
      <c r="AF104" t="s">
        <v>895</v>
      </c>
    </row>
    <row r="105" spans="1:32" x14ac:dyDescent="0.35">
      <c r="A105" s="3" t="str">
        <f t="shared" si="1"/>
        <v>Wen_WS_OT</v>
      </c>
      <c r="B105" s="3">
        <v>1</v>
      </c>
      <c r="C105" s="3">
        <v>2</v>
      </c>
      <c r="D105" s="3" t="s">
        <v>17</v>
      </c>
      <c r="E105" s="3">
        <v>103</v>
      </c>
      <c r="F105" s="3" t="s">
        <v>92</v>
      </c>
      <c r="G105" s="3" t="s">
        <v>19</v>
      </c>
      <c r="H105" s="3" t="s">
        <v>39</v>
      </c>
      <c r="I105" s="3" t="s">
        <v>25</v>
      </c>
      <c r="J105" s="3" t="s">
        <v>35</v>
      </c>
      <c r="K105" s="3" t="s">
        <v>23</v>
      </c>
      <c r="L105" s="3">
        <v>2</v>
      </c>
      <c r="M105" s="3">
        <v>7</v>
      </c>
      <c r="N105" s="4">
        <v>44483</v>
      </c>
      <c r="O105" s="54">
        <v>0.34375</v>
      </c>
      <c r="P105" s="5" t="b">
        <v>1</v>
      </c>
      <c r="Q105" s="7">
        <v>104</v>
      </c>
      <c r="R105" s="7">
        <v>10</v>
      </c>
      <c r="S105" s="7"/>
      <c r="T105" s="7"/>
      <c r="U105" s="3"/>
      <c r="Z105" t="s">
        <v>302</v>
      </c>
      <c r="AA105" s="3"/>
      <c r="AB105" s="3" t="s">
        <v>325</v>
      </c>
      <c r="AC105" s="3"/>
      <c r="AD105" s="3"/>
      <c r="AE105" s="3"/>
    </row>
    <row r="106" spans="1:32" x14ac:dyDescent="0.35">
      <c r="A106" s="3" t="str">
        <f t="shared" si="1"/>
        <v>Sto_WS_OT</v>
      </c>
      <c r="B106" s="3">
        <v>2</v>
      </c>
      <c r="C106" s="3">
        <v>2</v>
      </c>
      <c r="D106" s="3" t="s">
        <v>17</v>
      </c>
      <c r="E106" s="3">
        <v>105</v>
      </c>
      <c r="F106" s="3" t="s">
        <v>93</v>
      </c>
      <c r="G106" s="3" t="s">
        <v>19</v>
      </c>
      <c r="H106" s="3" t="s">
        <v>39</v>
      </c>
      <c r="I106" s="3" t="s">
        <v>21</v>
      </c>
      <c r="J106" s="3" t="s">
        <v>22</v>
      </c>
      <c r="K106" s="3" t="s">
        <v>23</v>
      </c>
      <c r="L106" s="3">
        <v>2</v>
      </c>
      <c r="M106" s="3">
        <v>7</v>
      </c>
      <c r="N106" s="4">
        <v>44483</v>
      </c>
      <c r="O106" s="54">
        <v>0.34375</v>
      </c>
      <c r="P106" s="5" t="b">
        <v>0</v>
      </c>
      <c r="Q106" s="7">
        <f>E106</f>
        <v>105</v>
      </c>
      <c r="R106" s="7"/>
      <c r="S106" s="7"/>
      <c r="T106" s="7"/>
      <c r="U106" s="3"/>
      <c r="AA106" s="3"/>
      <c r="AB106" s="3"/>
      <c r="AC106" t="s">
        <v>894</v>
      </c>
      <c r="AD106" t="s">
        <v>894</v>
      </c>
      <c r="AE106" t="s">
        <v>894</v>
      </c>
      <c r="AF106" t="s">
        <v>895</v>
      </c>
    </row>
    <row r="107" spans="1:32" x14ac:dyDescent="0.35">
      <c r="A107" s="3" t="str">
        <f t="shared" si="1"/>
        <v>Sto_WS_OT</v>
      </c>
      <c r="B107" s="3">
        <v>2</v>
      </c>
      <c r="C107" s="3">
        <v>2</v>
      </c>
      <c r="D107" s="3" t="s">
        <v>17</v>
      </c>
      <c r="E107" s="3">
        <v>105</v>
      </c>
      <c r="F107" s="3" t="s">
        <v>93</v>
      </c>
      <c r="G107" s="3" t="s">
        <v>19</v>
      </c>
      <c r="H107" s="3" t="s">
        <v>39</v>
      </c>
      <c r="I107" s="3" t="s">
        <v>21</v>
      </c>
      <c r="J107" s="3" t="s">
        <v>35</v>
      </c>
      <c r="K107" s="3" t="s">
        <v>23</v>
      </c>
      <c r="L107" s="3">
        <v>2</v>
      </c>
      <c r="M107" s="3">
        <v>7</v>
      </c>
      <c r="N107" s="4">
        <v>44483</v>
      </c>
      <c r="O107" s="54">
        <v>0.34375</v>
      </c>
      <c r="P107" s="5" t="b">
        <v>1</v>
      </c>
      <c r="Q107" s="7">
        <v>106</v>
      </c>
      <c r="R107" s="7">
        <v>14</v>
      </c>
      <c r="S107" s="7"/>
      <c r="T107" s="7"/>
      <c r="U107" s="3"/>
      <c r="Z107" t="s">
        <v>302</v>
      </c>
      <c r="AA107" s="3"/>
      <c r="AB107" s="3" t="s">
        <v>325</v>
      </c>
      <c r="AC107" s="3"/>
      <c r="AD107" s="3"/>
      <c r="AE107" s="3"/>
    </row>
    <row r="108" spans="1:32" x14ac:dyDescent="0.35">
      <c r="A108" s="3" t="str">
        <f t="shared" si="1"/>
        <v>Sto_WS_OT</v>
      </c>
      <c r="B108" s="3">
        <v>3</v>
      </c>
      <c r="C108" s="3">
        <v>2</v>
      </c>
      <c r="D108" s="3" t="s">
        <v>17</v>
      </c>
      <c r="E108" s="3">
        <v>107</v>
      </c>
      <c r="F108" s="3" t="s">
        <v>94</v>
      </c>
      <c r="G108" s="3" t="s">
        <v>19</v>
      </c>
      <c r="H108" s="3" t="s">
        <v>39</v>
      </c>
      <c r="I108" s="3" t="s">
        <v>21</v>
      </c>
      <c r="J108" s="3" t="s">
        <v>26</v>
      </c>
      <c r="K108" s="3" t="s">
        <v>27</v>
      </c>
      <c r="L108" s="3">
        <v>2</v>
      </c>
      <c r="M108" s="3">
        <v>4</v>
      </c>
      <c r="N108" s="4">
        <v>44482</v>
      </c>
      <c r="O108" s="4"/>
      <c r="P108" s="5" t="b">
        <v>0</v>
      </c>
      <c r="Q108" s="7">
        <f>E108</f>
        <v>107</v>
      </c>
      <c r="R108" s="7"/>
      <c r="S108" s="7"/>
      <c r="T108" s="7"/>
      <c r="U108" s="3"/>
      <c r="AA108" s="3"/>
      <c r="AB108" s="3" t="s">
        <v>326</v>
      </c>
      <c r="AC108" s="3" t="s">
        <v>896</v>
      </c>
      <c r="AD108" s="3" t="s">
        <v>896</v>
      </c>
      <c r="AE108" s="3" t="s">
        <v>896</v>
      </c>
    </row>
    <row r="109" spans="1:32" x14ac:dyDescent="0.35">
      <c r="A109" s="3" t="str">
        <f t="shared" si="1"/>
        <v>Sto_WS_OT</v>
      </c>
      <c r="B109" s="3">
        <v>3</v>
      </c>
      <c r="C109" s="3">
        <v>2</v>
      </c>
      <c r="D109" s="3" t="s">
        <v>17</v>
      </c>
      <c r="E109" s="3">
        <v>107</v>
      </c>
      <c r="F109" s="3" t="s">
        <v>94</v>
      </c>
      <c r="G109" s="3" t="s">
        <v>19</v>
      </c>
      <c r="H109" s="3" t="s">
        <v>39</v>
      </c>
      <c r="I109" s="3" t="s">
        <v>21</v>
      </c>
      <c r="J109" s="3" t="s">
        <v>28</v>
      </c>
      <c r="K109" s="3" t="s">
        <v>27</v>
      </c>
      <c r="L109" s="3">
        <v>2</v>
      </c>
      <c r="M109" s="3">
        <v>4</v>
      </c>
      <c r="N109" s="4">
        <v>44482</v>
      </c>
      <c r="O109" s="4"/>
      <c r="P109" s="5" t="b">
        <v>1</v>
      </c>
      <c r="Q109" s="7">
        <v>108</v>
      </c>
      <c r="R109" s="7"/>
      <c r="S109" s="7"/>
      <c r="T109" s="7"/>
      <c r="U109" s="3"/>
      <c r="Z109" t="s">
        <v>302</v>
      </c>
      <c r="AA109" s="3"/>
      <c r="AB109" s="3"/>
      <c r="AC109" s="3"/>
      <c r="AD109" s="3"/>
      <c r="AE109" s="3"/>
    </row>
    <row r="110" spans="1:32" x14ac:dyDescent="0.35">
      <c r="A110" s="3" t="str">
        <f t="shared" si="1"/>
        <v>Sto_WW_OT</v>
      </c>
      <c r="B110" s="3">
        <v>4</v>
      </c>
      <c r="C110" s="3">
        <v>2</v>
      </c>
      <c r="D110" s="3" t="s">
        <v>17</v>
      </c>
      <c r="E110" s="3">
        <v>109</v>
      </c>
      <c r="F110" s="3" t="s">
        <v>95</v>
      </c>
      <c r="G110" s="3" t="s">
        <v>19</v>
      </c>
      <c r="H110" s="3" t="s">
        <v>20</v>
      </c>
      <c r="I110" s="3" t="s">
        <v>21</v>
      </c>
      <c r="J110" s="3" t="s">
        <v>22</v>
      </c>
      <c r="K110" s="3" t="s">
        <v>23</v>
      </c>
      <c r="L110" s="3">
        <v>2</v>
      </c>
      <c r="M110" s="3">
        <v>7</v>
      </c>
      <c r="N110" s="4">
        <v>44483</v>
      </c>
      <c r="O110" s="54">
        <v>0.4375</v>
      </c>
      <c r="P110" s="5" t="b">
        <v>0</v>
      </c>
      <c r="Q110" s="7">
        <f>E110</f>
        <v>109</v>
      </c>
      <c r="R110" s="7"/>
      <c r="S110" s="7"/>
      <c r="T110" s="7"/>
      <c r="U110" s="3"/>
      <c r="AA110" s="50" t="s">
        <v>278</v>
      </c>
      <c r="AB110" s="3"/>
      <c r="AC110" s="3"/>
      <c r="AD110" s="3"/>
      <c r="AE110" s="3"/>
      <c r="AF110" t="s">
        <v>895</v>
      </c>
    </row>
    <row r="111" spans="1:32" x14ac:dyDescent="0.35">
      <c r="A111" s="3" t="str">
        <f t="shared" si="1"/>
        <v>Sto_WW_OT</v>
      </c>
      <c r="B111" s="3">
        <v>4</v>
      </c>
      <c r="C111" s="3">
        <v>2</v>
      </c>
      <c r="D111" s="3" t="s">
        <v>17</v>
      </c>
      <c r="E111" s="3">
        <v>109</v>
      </c>
      <c r="F111" s="3" t="s">
        <v>95</v>
      </c>
      <c r="G111" s="3" t="s">
        <v>19</v>
      </c>
      <c r="H111" s="3" t="s">
        <v>20</v>
      </c>
      <c r="I111" s="3" t="s">
        <v>21</v>
      </c>
      <c r="J111" s="3" t="s">
        <v>35</v>
      </c>
      <c r="K111" s="3" t="s">
        <v>23</v>
      </c>
      <c r="L111" s="3">
        <v>2</v>
      </c>
      <c r="M111" s="3">
        <v>7</v>
      </c>
      <c r="N111" s="4">
        <v>44483</v>
      </c>
      <c r="O111" s="54">
        <v>0.4375</v>
      </c>
      <c r="P111" s="5" t="b">
        <v>1</v>
      </c>
      <c r="Q111" s="7">
        <v>110</v>
      </c>
      <c r="R111" s="7">
        <v>7</v>
      </c>
      <c r="S111" s="7"/>
      <c r="T111" s="7"/>
      <c r="U111" s="3"/>
      <c r="AA111" s="3"/>
      <c r="AB111" s="3" t="s">
        <v>325</v>
      </c>
      <c r="AC111" s="3"/>
      <c r="AD111" s="3"/>
      <c r="AE111" s="3"/>
    </row>
    <row r="112" spans="1:32" x14ac:dyDescent="0.35">
      <c r="A112" s="3" t="str">
        <f t="shared" si="1"/>
        <v>Wen_WW_OT</v>
      </c>
      <c r="B112" s="3">
        <v>5</v>
      </c>
      <c r="C112" s="3">
        <v>2</v>
      </c>
      <c r="D112" s="3" t="s">
        <v>17</v>
      </c>
      <c r="E112" s="3">
        <v>111</v>
      </c>
      <c r="F112" s="3" t="s">
        <v>96</v>
      </c>
      <c r="G112" s="3" t="s">
        <v>19</v>
      </c>
      <c r="H112" s="3" t="s">
        <v>20</v>
      </c>
      <c r="I112" s="3" t="s">
        <v>25</v>
      </c>
      <c r="J112" s="3" t="s">
        <v>22</v>
      </c>
      <c r="K112" s="3" t="s">
        <v>23</v>
      </c>
      <c r="L112" s="3">
        <v>2</v>
      </c>
      <c r="M112" s="3">
        <v>7</v>
      </c>
      <c r="N112" s="4">
        <v>44483</v>
      </c>
      <c r="O112" s="54">
        <v>0.4375</v>
      </c>
      <c r="P112" s="5" t="b">
        <v>0</v>
      </c>
      <c r="Q112" s="7">
        <f>E112</f>
        <v>111</v>
      </c>
      <c r="R112" s="7"/>
      <c r="S112" s="7"/>
      <c r="T112" s="7"/>
      <c r="U112" s="3"/>
      <c r="AA112" s="3"/>
      <c r="AB112" s="3"/>
      <c r="AC112" t="s">
        <v>894</v>
      </c>
      <c r="AD112" t="s">
        <v>894</v>
      </c>
      <c r="AE112" t="s">
        <v>894</v>
      </c>
      <c r="AF112" t="s">
        <v>895</v>
      </c>
    </row>
    <row r="113" spans="1:32" x14ac:dyDescent="0.35">
      <c r="A113" s="3" t="str">
        <f t="shared" si="1"/>
        <v>Wen_WW_OT</v>
      </c>
      <c r="B113" s="3">
        <v>5</v>
      </c>
      <c r="C113" s="3">
        <v>2</v>
      </c>
      <c r="D113" s="3" t="s">
        <v>17</v>
      </c>
      <c r="E113" s="3">
        <v>111</v>
      </c>
      <c r="F113" s="3" t="s">
        <v>96</v>
      </c>
      <c r="G113" s="3" t="s">
        <v>19</v>
      </c>
      <c r="H113" s="3" t="s">
        <v>20</v>
      </c>
      <c r="I113" s="3" t="s">
        <v>25</v>
      </c>
      <c r="J113" s="3" t="s">
        <v>35</v>
      </c>
      <c r="K113" s="3" t="s">
        <v>23</v>
      </c>
      <c r="L113" s="3">
        <v>2</v>
      </c>
      <c r="M113" s="3">
        <v>7</v>
      </c>
      <c r="N113" s="4">
        <v>44483</v>
      </c>
      <c r="O113" s="54">
        <v>0.4375</v>
      </c>
      <c r="P113" s="5" t="b">
        <v>1</v>
      </c>
      <c r="Q113" s="7">
        <v>112</v>
      </c>
      <c r="R113" s="7">
        <v>3</v>
      </c>
      <c r="S113" s="7"/>
      <c r="T113" s="7"/>
      <c r="U113" s="3"/>
      <c r="Z113" t="s">
        <v>302</v>
      </c>
      <c r="AA113" s="3"/>
      <c r="AB113" s="3" t="s">
        <v>325</v>
      </c>
      <c r="AC113" s="3"/>
      <c r="AD113" s="3"/>
      <c r="AE113" s="3"/>
    </row>
    <row r="114" spans="1:32" x14ac:dyDescent="0.35">
      <c r="A114" s="3" t="str">
        <f t="shared" si="1"/>
        <v>Wen_WS_OT</v>
      </c>
      <c r="B114" s="3">
        <v>6</v>
      </c>
      <c r="C114" s="3">
        <v>2</v>
      </c>
      <c r="D114" s="3" t="s">
        <v>17</v>
      </c>
      <c r="E114" s="3">
        <v>113</v>
      </c>
      <c r="F114" s="3" t="s">
        <v>97</v>
      </c>
      <c r="G114" s="3" t="s">
        <v>19</v>
      </c>
      <c r="H114" s="3" t="s">
        <v>39</v>
      </c>
      <c r="I114" s="3" t="s">
        <v>25</v>
      </c>
      <c r="J114" s="3"/>
      <c r="K114" s="3" t="s">
        <v>27</v>
      </c>
      <c r="L114" s="3"/>
      <c r="M114" s="3">
        <v>4</v>
      </c>
      <c r="N114" s="4"/>
      <c r="O114" s="4"/>
      <c r="P114" s="5" t="b">
        <v>0</v>
      </c>
      <c r="Q114" s="7">
        <f>E114</f>
        <v>113</v>
      </c>
      <c r="R114" s="7"/>
      <c r="S114" s="7"/>
      <c r="T114" s="7"/>
      <c r="U114" s="3" t="s">
        <v>98</v>
      </c>
      <c r="V114" t="s">
        <v>302</v>
      </c>
      <c r="W114" t="s">
        <v>302</v>
      </c>
      <c r="AA114" s="3" t="s">
        <v>233</v>
      </c>
      <c r="AB114" s="3"/>
      <c r="AC114" s="3"/>
      <c r="AD114" s="3"/>
      <c r="AE114" s="3"/>
    </row>
    <row r="115" spans="1:32" x14ac:dyDescent="0.35">
      <c r="A115" s="3" t="str">
        <f t="shared" si="1"/>
        <v>Wen_WS_OT</v>
      </c>
      <c r="B115" s="3">
        <v>6</v>
      </c>
      <c r="C115" s="3">
        <v>2</v>
      </c>
      <c r="D115" s="3" t="s">
        <v>17</v>
      </c>
      <c r="E115" s="3">
        <v>113</v>
      </c>
      <c r="F115" s="3" t="s">
        <v>97</v>
      </c>
      <c r="G115" s="3" t="s">
        <v>19</v>
      </c>
      <c r="H115" s="3" t="s">
        <v>39</v>
      </c>
      <c r="I115" s="3" t="s">
        <v>25</v>
      </c>
      <c r="J115" s="3" t="s">
        <v>28</v>
      </c>
      <c r="K115" s="3" t="s">
        <v>27</v>
      </c>
      <c r="L115" s="3">
        <v>2</v>
      </c>
      <c r="M115" s="3">
        <v>4</v>
      </c>
      <c r="N115" s="4">
        <v>44483</v>
      </c>
      <c r="O115" s="4"/>
      <c r="P115" s="5" t="b">
        <v>1</v>
      </c>
      <c r="Q115" s="7">
        <v>114</v>
      </c>
      <c r="R115" s="7"/>
      <c r="S115" s="7"/>
      <c r="T115" s="7"/>
      <c r="U115" s="3" t="s">
        <v>99</v>
      </c>
      <c r="V115" t="s">
        <v>302</v>
      </c>
      <c r="AA115" s="3"/>
      <c r="AB115" s="3"/>
      <c r="AC115" s="3"/>
      <c r="AD115" s="3"/>
      <c r="AE115" s="3"/>
    </row>
    <row r="116" spans="1:32" x14ac:dyDescent="0.35">
      <c r="A116" s="3" t="str">
        <f t="shared" si="1"/>
        <v>Wen_WS_OT</v>
      </c>
      <c r="B116" s="3">
        <v>7</v>
      </c>
      <c r="C116" s="3">
        <v>2</v>
      </c>
      <c r="D116" s="3" t="s">
        <v>17</v>
      </c>
      <c r="E116" s="3">
        <v>115</v>
      </c>
      <c r="F116" s="3" t="s">
        <v>100</v>
      </c>
      <c r="G116" s="3" t="s">
        <v>19</v>
      </c>
      <c r="H116" s="3" t="s">
        <v>39</v>
      </c>
      <c r="I116" s="3" t="s">
        <v>25</v>
      </c>
      <c r="J116" s="3" t="s">
        <v>22</v>
      </c>
      <c r="K116" s="3" t="s">
        <v>23</v>
      </c>
      <c r="L116" s="3">
        <v>2</v>
      </c>
      <c r="M116" s="3">
        <v>8</v>
      </c>
      <c r="N116" s="4">
        <v>44483</v>
      </c>
      <c r="O116" s="54">
        <v>0.4375</v>
      </c>
      <c r="P116" s="5" t="b">
        <v>0</v>
      </c>
      <c r="Q116" s="7">
        <f>E116</f>
        <v>115</v>
      </c>
      <c r="R116" s="7"/>
      <c r="S116" s="7"/>
      <c r="T116" s="7"/>
      <c r="U116" s="3"/>
      <c r="Y116" t="s">
        <v>302</v>
      </c>
      <c r="AA116" s="3"/>
      <c r="AB116" s="3"/>
      <c r="AC116" t="s">
        <v>894</v>
      </c>
      <c r="AD116" t="s">
        <v>894</v>
      </c>
      <c r="AE116" t="s">
        <v>894</v>
      </c>
      <c r="AF116" t="s">
        <v>895</v>
      </c>
    </row>
    <row r="117" spans="1:32" x14ac:dyDescent="0.35">
      <c r="A117" s="3" t="str">
        <f t="shared" si="1"/>
        <v>Wen_WS_OT</v>
      </c>
      <c r="B117" s="3">
        <v>7</v>
      </c>
      <c r="C117" s="3">
        <v>2</v>
      </c>
      <c r="D117" s="3" t="s">
        <v>17</v>
      </c>
      <c r="E117" s="3">
        <v>115</v>
      </c>
      <c r="F117" s="3" t="s">
        <v>100</v>
      </c>
      <c r="G117" s="3" t="s">
        <v>19</v>
      </c>
      <c r="H117" s="3" t="s">
        <v>39</v>
      </c>
      <c r="I117" s="3" t="s">
        <v>25</v>
      </c>
      <c r="J117" s="3" t="s">
        <v>35</v>
      </c>
      <c r="K117" s="3" t="s">
        <v>23</v>
      </c>
      <c r="L117" s="3">
        <v>2</v>
      </c>
      <c r="M117" s="3">
        <v>8</v>
      </c>
      <c r="N117" s="4">
        <v>44483</v>
      </c>
      <c r="O117" s="54">
        <v>0.4375</v>
      </c>
      <c r="P117" s="5" t="b">
        <v>1</v>
      </c>
      <c r="Q117" s="7">
        <v>116</v>
      </c>
      <c r="R117" s="7">
        <v>12</v>
      </c>
      <c r="S117" s="7"/>
      <c r="T117" s="7"/>
      <c r="U117" s="3"/>
      <c r="AA117" s="3"/>
      <c r="AB117" s="3" t="s">
        <v>325</v>
      </c>
      <c r="AC117" s="3"/>
      <c r="AD117" s="3"/>
      <c r="AE117" s="3"/>
    </row>
    <row r="118" spans="1:32" x14ac:dyDescent="0.35">
      <c r="A118" s="3" t="str">
        <f t="shared" si="1"/>
        <v>Wen_WW_OT</v>
      </c>
      <c r="B118" s="3">
        <v>8</v>
      </c>
      <c r="C118" s="3">
        <v>2</v>
      </c>
      <c r="D118" s="3" t="s">
        <v>17</v>
      </c>
      <c r="E118" s="3">
        <v>117</v>
      </c>
      <c r="F118" s="3" t="s">
        <v>101</v>
      </c>
      <c r="G118" s="3" t="s">
        <v>19</v>
      </c>
      <c r="H118" s="3" t="s">
        <v>20</v>
      </c>
      <c r="I118" s="3" t="s">
        <v>25</v>
      </c>
      <c r="J118" s="3" t="s">
        <v>26</v>
      </c>
      <c r="K118" s="3" t="s">
        <v>27</v>
      </c>
      <c r="L118" s="3">
        <v>2</v>
      </c>
      <c r="M118" s="3">
        <v>4</v>
      </c>
      <c r="N118" s="4">
        <v>44482</v>
      </c>
      <c r="O118" s="4"/>
      <c r="P118" s="5" t="b">
        <v>0</v>
      </c>
      <c r="Q118" s="7">
        <f>E118</f>
        <v>117</v>
      </c>
      <c r="R118" s="7"/>
      <c r="S118" s="7"/>
      <c r="T118" s="7"/>
      <c r="U118" s="3"/>
      <c r="AA118" s="3"/>
      <c r="AB118" s="3" t="s">
        <v>326</v>
      </c>
      <c r="AC118" s="3" t="s">
        <v>896</v>
      </c>
      <c r="AD118" s="3" t="s">
        <v>896</v>
      </c>
      <c r="AE118" s="3" t="s">
        <v>896</v>
      </c>
    </row>
    <row r="119" spans="1:32" x14ac:dyDescent="0.35">
      <c r="A119" s="3" t="str">
        <f t="shared" si="1"/>
        <v>Wen_WW_OT</v>
      </c>
      <c r="B119" s="3">
        <v>8</v>
      </c>
      <c r="C119" s="3">
        <v>2</v>
      </c>
      <c r="D119" s="3" t="s">
        <v>17</v>
      </c>
      <c r="E119" s="3">
        <v>117</v>
      </c>
      <c r="F119" s="3" t="s">
        <v>101</v>
      </c>
      <c r="G119" s="3" t="s">
        <v>19</v>
      </c>
      <c r="H119" s="3" t="s">
        <v>20</v>
      </c>
      <c r="I119" s="3" t="s">
        <v>25</v>
      </c>
      <c r="J119" s="3" t="s">
        <v>28</v>
      </c>
      <c r="K119" s="3" t="s">
        <v>27</v>
      </c>
      <c r="L119" s="3">
        <v>2</v>
      </c>
      <c r="M119" s="3">
        <v>4</v>
      </c>
      <c r="N119" s="4">
        <v>44482</v>
      </c>
      <c r="O119" s="4"/>
      <c r="P119" s="5" t="b">
        <v>1</v>
      </c>
      <c r="Q119" s="7">
        <v>118</v>
      </c>
      <c r="R119" s="7"/>
      <c r="S119" s="7"/>
      <c r="T119" s="7"/>
      <c r="U119" s="3"/>
      <c r="Z119" t="s">
        <v>302</v>
      </c>
      <c r="AA119" s="3"/>
      <c r="AB119" s="3"/>
      <c r="AC119" s="3"/>
      <c r="AD119" s="3"/>
      <c r="AE119" s="3"/>
    </row>
    <row r="120" spans="1:32" x14ac:dyDescent="0.35">
      <c r="A120" s="3" t="str">
        <f t="shared" si="1"/>
        <v>Sto_WS_OT</v>
      </c>
      <c r="B120" s="3">
        <v>9</v>
      </c>
      <c r="C120" s="3">
        <v>2</v>
      </c>
      <c r="D120" s="3" t="s">
        <v>17</v>
      </c>
      <c r="E120" s="3">
        <v>119</v>
      </c>
      <c r="F120" s="3" t="s">
        <v>102</v>
      </c>
      <c r="G120" s="3" t="s">
        <v>19</v>
      </c>
      <c r="H120" s="3" t="s">
        <v>39</v>
      </c>
      <c r="I120" s="3" t="s">
        <v>21</v>
      </c>
      <c r="J120" s="3" t="s">
        <v>22</v>
      </c>
      <c r="K120" s="3" t="s">
        <v>23</v>
      </c>
      <c r="L120" s="3">
        <v>2</v>
      </c>
      <c r="M120" s="3">
        <v>8</v>
      </c>
      <c r="N120" s="4">
        <v>44483</v>
      </c>
      <c r="O120" s="54">
        <v>0.42708333333333331</v>
      </c>
      <c r="P120" s="5" t="b">
        <v>0</v>
      </c>
      <c r="Q120" s="7">
        <f>E120</f>
        <v>119</v>
      </c>
      <c r="R120" s="7"/>
      <c r="S120" s="7"/>
      <c r="T120" s="7"/>
      <c r="U120" s="3"/>
      <c r="Y120" t="s">
        <v>302</v>
      </c>
      <c r="AA120" s="3"/>
      <c r="AB120" s="3"/>
      <c r="AC120" t="s">
        <v>894</v>
      </c>
      <c r="AD120" t="s">
        <v>894</v>
      </c>
      <c r="AE120" t="s">
        <v>894</v>
      </c>
      <c r="AF120" t="s">
        <v>895</v>
      </c>
    </row>
    <row r="121" spans="1:32" x14ac:dyDescent="0.35">
      <c r="A121" s="3" t="str">
        <f t="shared" si="1"/>
        <v>Sto_WS_OT</v>
      </c>
      <c r="B121" s="3">
        <v>9</v>
      </c>
      <c r="C121" s="3">
        <v>2</v>
      </c>
      <c r="D121" s="3" t="s">
        <v>17</v>
      </c>
      <c r="E121" s="3">
        <v>119</v>
      </c>
      <c r="F121" s="3" t="s">
        <v>102</v>
      </c>
      <c r="G121" s="3" t="s">
        <v>19</v>
      </c>
      <c r="H121" s="3" t="s">
        <v>39</v>
      </c>
      <c r="I121" s="3" t="s">
        <v>21</v>
      </c>
      <c r="J121" s="3" t="s">
        <v>35</v>
      </c>
      <c r="K121" s="3" t="s">
        <v>23</v>
      </c>
      <c r="L121" s="3">
        <v>2</v>
      </c>
      <c r="M121" s="3">
        <v>8</v>
      </c>
      <c r="N121" s="4">
        <v>44483</v>
      </c>
      <c r="O121" s="54">
        <v>0.42708333333333331</v>
      </c>
      <c r="P121" s="5" t="b">
        <v>1</v>
      </c>
      <c r="Q121" s="7">
        <v>120</v>
      </c>
      <c r="R121" s="7">
        <v>13</v>
      </c>
      <c r="S121" s="7"/>
      <c r="T121" s="7"/>
      <c r="U121" s="3"/>
      <c r="AA121" s="3"/>
      <c r="AB121" s="3" t="s">
        <v>325</v>
      </c>
      <c r="AC121" s="3"/>
      <c r="AD121" s="3"/>
      <c r="AE121" s="3"/>
    </row>
    <row r="122" spans="1:32" x14ac:dyDescent="0.35">
      <c r="A122" s="3" t="str">
        <f t="shared" si="1"/>
        <v>Sto_WW_OT</v>
      </c>
      <c r="B122" s="3">
        <v>10</v>
      </c>
      <c r="C122" s="3">
        <v>2</v>
      </c>
      <c r="D122" s="3" t="s">
        <v>17</v>
      </c>
      <c r="E122" s="3">
        <v>121</v>
      </c>
      <c r="F122" s="3" t="s">
        <v>103</v>
      </c>
      <c r="G122" s="3" t="s">
        <v>19</v>
      </c>
      <c r="H122" s="3" t="s">
        <v>20</v>
      </c>
      <c r="I122" s="3" t="s">
        <v>21</v>
      </c>
      <c r="J122" s="3" t="s">
        <v>26</v>
      </c>
      <c r="K122" s="3" t="s">
        <v>27</v>
      </c>
      <c r="L122" s="3">
        <v>2</v>
      </c>
      <c r="M122" s="3">
        <v>4</v>
      </c>
      <c r="N122" s="4">
        <v>44482</v>
      </c>
      <c r="O122" s="4"/>
      <c r="P122" s="5" t="b">
        <v>0</v>
      </c>
      <c r="Q122" s="7">
        <f>E122</f>
        <v>121</v>
      </c>
      <c r="R122" s="7"/>
      <c r="S122" s="7"/>
      <c r="T122" s="7" t="s">
        <v>302</v>
      </c>
      <c r="U122" s="3"/>
      <c r="AA122" s="3"/>
      <c r="AB122" s="3" t="s">
        <v>326</v>
      </c>
      <c r="AC122" s="3" t="s">
        <v>896</v>
      </c>
      <c r="AD122" s="3" t="s">
        <v>896</v>
      </c>
      <c r="AE122" s="3" t="s">
        <v>896</v>
      </c>
    </row>
    <row r="123" spans="1:32" x14ac:dyDescent="0.35">
      <c r="A123" s="3" t="str">
        <f t="shared" si="1"/>
        <v>Sto_WW_OT</v>
      </c>
      <c r="B123" s="3">
        <v>10</v>
      </c>
      <c r="C123" s="3">
        <v>2</v>
      </c>
      <c r="D123" s="3" t="s">
        <v>17</v>
      </c>
      <c r="E123" s="3">
        <v>121</v>
      </c>
      <c r="F123" s="3" t="s">
        <v>103</v>
      </c>
      <c r="G123" s="3" t="s">
        <v>19</v>
      </c>
      <c r="H123" s="3" t="s">
        <v>20</v>
      </c>
      <c r="I123" s="3" t="s">
        <v>21</v>
      </c>
      <c r="J123" s="3" t="s">
        <v>28</v>
      </c>
      <c r="K123" s="3" t="s">
        <v>27</v>
      </c>
      <c r="L123" s="3">
        <v>2</v>
      </c>
      <c r="M123" s="3">
        <v>4</v>
      </c>
      <c r="N123" s="4">
        <v>44482</v>
      </c>
      <c r="O123" s="4"/>
      <c r="P123" s="5" t="b">
        <v>1</v>
      </c>
      <c r="Q123" s="7">
        <v>122</v>
      </c>
      <c r="R123" s="7"/>
      <c r="S123" s="7"/>
      <c r="T123" s="7"/>
      <c r="U123" s="3"/>
      <c r="Z123" t="s">
        <v>302</v>
      </c>
      <c r="AA123" s="3"/>
      <c r="AB123" s="3"/>
      <c r="AC123" s="3"/>
      <c r="AD123" s="3"/>
      <c r="AE123" s="3"/>
    </row>
    <row r="124" spans="1:32" x14ac:dyDescent="0.35">
      <c r="A124" s="3" t="str">
        <f t="shared" si="1"/>
        <v>Wen_WS_OT</v>
      </c>
      <c r="B124" s="3">
        <v>11</v>
      </c>
      <c r="C124" s="3">
        <v>2</v>
      </c>
      <c r="D124" s="3" t="s">
        <v>17</v>
      </c>
      <c r="E124" s="3">
        <v>123</v>
      </c>
      <c r="F124" s="3" t="s">
        <v>104</v>
      </c>
      <c r="G124" s="3" t="s">
        <v>19</v>
      </c>
      <c r="H124" s="3" t="s">
        <v>39</v>
      </c>
      <c r="I124" s="3" t="s">
        <v>25</v>
      </c>
      <c r="J124" s="3" t="s">
        <v>26</v>
      </c>
      <c r="K124" s="3" t="s">
        <v>27</v>
      </c>
      <c r="L124" s="3">
        <v>2</v>
      </c>
      <c r="M124" s="3">
        <v>5</v>
      </c>
      <c r="N124" s="4">
        <v>44483</v>
      </c>
      <c r="O124" s="4"/>
      <c r="P124" s="5" t="b">
        <v>0</v>
      </c>
      <c r="Q124" s="7">
        <f>E124</f>
        <v>123</v>
      </c>
      <c r="R124" s="7"/>
      <c r="S124" s="7"/>
      <c r="T124" s="7" t="s">
        <v>302</v>
      </c>
      <c r="U124" s="3"/>
      <c r="AA124" s="3"/>
      <c r="AB124" s="3" t="s">
        <v>326</v>
      </c>
      <c r="AC124" s="3" t="s">
        <v>896</v>
      </c>
      <c r="AD124" s="3" t="s">
        <v>896</v>
      </c>
      <c r="AE124" s="3" t="s">
        <v>896</v>
      </c>
    </row>
    <row r="125" spans="1:32" x14ac:dyDescent="0.35">
      <c r="A125" s="3" t="str">
        <f t="shared" si="1"/>
        <v>Wen_WS_OT</v>
      </c>
      <c r="B125" s="3">
        <v>11</v>
      </c>
      <c r="C125" s="3">
        <v>2</v>
      </c>
      <c r="D125" s="3" t="s">
        <v>17</v>
      </c>
      <c r="E125" s="3">
        <v>123</v>
      </c>
      <c r="F125" s="3" t="s">
        <v>104</v>
      </c>
      <c r="G125" s="3" t="s">
        <v>19</v>
      </c>
      <c r="H125" s="3" t="s">
        <v>39</v>
      </c>
      <c r="I125" s="3" t="s">
        <v>25</v>
      </c>
      <c r="J125" s="3" t="s">
        <v>28</v>
      </c>
      <c r="K125" s="3" t="s">
        <v>27</v>
      </c>
      <c r="L125" s="3">
        <v>2</v>
      </c>
      <c r="M125" s="3">
        <v>5</v>
      </c>
      <c r="N125" s="4">
        <v>44483</v>
      </c>
      <c r="O125" s="4"/>
      <c r="P125" s="5" t="b">
        <v>1</v>
      </c>
      <c r="Q125" s="7">
        <v>124</v>
      </c>
      <c r="R125" s="7"/>
      <c r="S125" s="7"/>
      <c r="T125" s="7"/>
      <c r="U125" s="3"/>
      <c r="Z125" t="s">
        <v>302</v>
      </c>
      <c r="AA125" s="3"/>
      <c r="AB125" s="3"/>
      <c r="AC125" s="3"/>
      <c r="AD125" s="3"/>
      <c r="AE125" s="3"/>
    </row>
    <row r="126" spans="1:32" x14ac:dyDescent="0.35">
      <c r="A126" s="3" t="str">
        <f t="shared" si="1"/>
        <v>Wen_WW_OT</v>
      </c>
      <c r="B126" s="3">
        <v>12</v>
      </c>
      <c r="C126" s="3">
        <v>2</v>
      </c>
      <c r="D126" s="3" t="s">
        <v>17</v>
      </c>
      <c r="E126" s="3">
        <v>125</v>
      </c>
      <c r="F126" s="3" t="s">
        <v>105</v>
      </c>
      <c r="G126" s="3" t="s">
        <v>19</v>
      </c>
      <c r="H126" s="3" t="s">
        <v>20</v>
      </c>
      <c r="I126" s="3" t="s">
        <v>25</v>
      </c>
      <c r="J126" s="3" t="s">
        <v>26</v>
      </c>
      <c r="K126" s="3" t="s">
        <v>27</v>
      </c>
      <c r="L126" s="3">
        <v>2</v>
      </c>
      <c r="M126" s="3">
        <v>5</v>
      </c>
      <c r="N126" s="4">
        <v>44483</v>
      </c>
      <c r="O126" s="4"/>
      <c r="P126" s="5" t="b">
        <v>0</v>
      </c>
      <c r="Q126" s="7">
        <f>E126</f>
        <v>125</v>
      </c>
      <c r="R126" s="7"/>
      <c r="S126" s="7"/>
      <c r="T126" s="7" t="s">
        <v>302</v>
      </c>
      <c r="U126" s="3"/>
      <c r="AA126" s="3"/>
      <c r="AB126" s="3" t="s">
        <v>326</v>
      </c>
      <c r="AC126" s="3" t="s">
        <v>896</v>
      </c>
      <c r="AD126" s="3" t="s">
        <v>896</v>
      </c>
      <c r="AE126" s="3" t="s">
        <v>896</v>
      </c>
    </row>
    <row r="127" spans="1:32" x14ac:dyDescent="0.35">
      <c r="A127" s="3" t="str">
        <f t="shared" si="1"/>
        <v>Wen_WW_OT</v>
      </c>
      <c r="B127" s="3">
        <v>12</v>
      </c>
      <c r="C127" s="3">
        <v>2</v>
      </c>
      <c r="D127" s="3" t="s">
        <v>17</v>
      </c>
      <c r="E127" s="3">
        <v>125</v>
      </c>
      <c r="F127" s="3" t="s">
        <v>105</v>
      </c>
      <c r="G127" s="3" t="s">
        <v>19</v>
      </c>
      <c r="H127" s="3" t="s">
        <v>20</v>
      </c>
      <c r="I127" s="3" t="s">
        <v>25</v>
      </c>
      <c r="J127" s="3" t="s">
        <v>28</v>
      </c>
      <c r="K127" s="3" t="s">
        <v>27</v>
      </c>
      <c r="L127" s="3">
        <v>2</v>
      </c>
      <c r="M127" s="3">
        <v>5</v>
      </c>
      <c r="N127" s="4">
        <v>44483</v>
      </c>
      <c r="O127" s="4"/>
      <c r="P127" s="5" t="b">
        <v>1</v>
      </c>
      <c r="Q127" s="7">
        <v>126</v>
      </c>
      <c r="R127" s="7"/>
      <c r="S127" s="7"/>
      <c r="T127" s="7"/>
      <c r="U127" s="3"/>
      <c r="Z127" t="s">
        <v>302</v>
      </c>
      <c r="AA127" s="3"/>
      <c r="AB127" s="3"/>
      <c r="AC127" s="3"/>
      <c r="AD127" s="3"/>
      <c r="AE127" s="3"/>
    </row>
    <row r="128" spans="1:32" x14ac:dyDescent="0.35">
      <c r="A128" s="3" t="str">
        <f t="shared" si="1"/>
        <v>Sto_WW_OT</v>
      </c>
      <c r="B128" s="3">
        <v>13</v>
      </c>
      <c r="C128" s="3">
        <v>2</v>
      </c>
      <c r="D128" s="3" t="s">
        <v>17</v>
      </c>
      <c r="E128" s="3">
        <v>127</v>
      </c>
      <c r="F128" s="3" t="s">
        <v>106</v>
      </c>
      <c r="G128" s="3" t="s">
        <v>19</v>
      </c>
      <c r="H128" s="3" t="s">
        <v>20</v>
      </c>
      <c r="I128" s="3" t="s">
        <v>21</v>
      </c>
      <c r="J128" s="3" t="s">
        <v>22</v>
      </c>
      <c r="K128" s="3" t="s">
        <v>23</v>
      </c>
      <c r="L128" s="3">
        <v>2</v>
      </c>
      <c r="M128" s="3">
        <v>8</v>
      </c>
      <c r="N128" s="4">
        <v>44483</v>
      </c>
      <c r="O128" s="54">
        <v>0.42708333333333331</v>
      </c>
      <c r="P128" s="5" t="b">
        <v>0</v>
      </c>
      <c r="Q128" s="7">
        <f>E128</f>
        <v>127</v>
      </c>
      <c r="R128" s="7"/>
      <c r="S128" s="7"/>
      <c r="T128" s="7"/>
      <c r="U128" s="3"/>
      <c r="AA128" s="3"/>
      <c r="AB128" s="3"/>
      <c r="AC128" t="s">
        <v>894</v>
      </c>
      <c r="AD128" t="s">
        <v>894</v>
      </c>
      <c r="AE128" t="s">
        <v>894</v>
      </c>
      <c r="AF128" t="s">
        <v>895</v>
      </c>
    </row>
    <row r="129" spans="1:32" x14ac:dyDescent="0.35">
      <c r="A129" s="3" t="str">
        <f t="shared" si="1"/>
        <v>Sto_WW_OT</v>
      </c>
      <c r="B129" s="3">
        <v>13</v>
      </c>
      <c r="C129" s="3">
        <v>2</v>
      </c>
      <c r="D129" s="3" t="s">
        <v>17</v>
      </c>
      <c r="E129" s="3">
        <v>127</v>
      </c>
      <c r="F129" s="3" t="s">
        <v>106</v>
      </c>
      <c r="G129" s="3" t="s">
        <v>19</v>
      </c>
      <c r="H129" s="3" t="s">
        <v>20</v>
      </c>
      <c r="I129" s="3" t="s">
        <v>21</v>
      </c>
      <c r="J129" s="3" t="s">
        <v>35</v>
      </c>
      <c r="K129" s="3" t="s">
        <v>23</v>
      </c>
      <c r="L129" s="3">
        <v>2</v>
      </c>
      <c r="M129" s="3">
        <v>8</v>
      </c>
      <c r="N129" s="4">
        <v>44483</v>
      </c>
      <c r="O129" s="54">
        <v>0.42708333333333331</v>
      </c>
      <c r="P129" s="5" t="b">
        <v>1</v>
      </c>
      <c r="Q129" s="7">
        <v>128</v>
      </c>
      <c r="R129" s="7">
        <v>6</v>
      </c>
      <c r="S129" s="7"/>
      <c r="T129" s="7"/>
      <c r="U129" s="3"/>
      <c r="Z129" t="s">
        <v>302</v>
      </c>
      <c r="AA129" s="3"/>
      <c r="AB129" s="3" t="s">
        <v>325</v>
      </c>
      <c r="AC129" s="3"/>
      <c r="AD129" s="3"/>
      <c r="AE129" s="3"/>
    </row>
    <row r="130" spans="1:32" x14ac:dyDescent="0.35">
      <c r="A130" s="3" t="str">
        <f t="shared" si="1"/>
        <v>Sto_WS_OT</v>
      </c>
      <c r="B130" s="3">
        <v>14</v>
      </c>
      <c r="C130" s="3">
        <v>2</v>
      </c>
      <c r="D130" s="3" t="s">
        <v>17</v>
      </c>
      <c r="E130" s="3">
        <v>129</v>
      </c>
      <c r="F130" s="3" t="s">
        <v>107</v>
      </c>
      <c r="G130" s="3" t="s">
        <v>19</v>
      </c>
      <c r="H130" s="3" t="s">
        <v>39</v>
      </c>
      <c r="I130" s="3" t="s">
        <v>21</v>
      </c>
      <c r="J130" s="3" t="s">
        <v>26</v>
      </c>
      <c r="K130" s="3" t="s">
        <v>27</v>
      </c>
      <c r="L130" s="3">
        <v>2</v>
      </c>
      <c r="M130" s="3">
        <v>5</v>
      </c>
      <c r="N130" s="4">
        <v>44483</v>
      </c>
      <c r="O130" s="4"/>
      <c r="P130" s="5" t="b">
        <v>0</v>
      </c>
      <c r="Q130" s="7">
        <f>E130</f>
        <v>129</v>
      </c>
      <c r="R130" s="7"/>
      <c r="S130" s="7"/>
      <c r="T130" s="7" t="s">
        <v>302</v>
      </c>
      <c r="U130" s="3"/>
      <c r="AA130" s="3"/>
      <c r="AB130" s="3" t="s">
        <v>326</v>
      </c>
      <c r="AC130" s="3" t="s">
        <v>896</v>
      </c>
      <c r="AD130" s="3" t="s">
        <v>896</v>
      </c>
      <c r="AE130" s="3" t="s">
        <v>896</v>
      </c>
    </row>
    <row r="131" spans="1:32" x14ac:dyDescent="0.35">
      <c r="A131" s="3" t="str">
        <f t="shared" ref="A131:A194" si="2">LEFT(I131,3)&amp;"_"&amp;H131&amp;"_"&amp;G131</f>
        <v>Sto_WS_OT</v>
      </c>
      <c r="B131" s="3">
        <v>14</v>
      </c>
      <c r="C131" s="3">
        <v>2</v>
      </c>
      <c r="D131" s="3" t="s">
        <v>17</v>
      </c>
      <c r="E131" s="3">
        <v>129</v>
      </c>
      <c r="F131" s="3" t="s">
        <v>107</v>
      </c>
      <c r="G131" s="3" t="s">
        <v>19</v>
      </c>
      <c r="H131" s="3" t="s">
        <v>39</v>
      </c>
      <c r="I131" s="3" t="s">
        <v>21</v>
      </c>
      <c r="J131" s="3" t="s">
        <v>28</v>
      </c>
      <c r="K131" s="3" t="s">
        <v>27</v>
      </c>
      <c r="L131" s="3">
        <v>2</v>
      </c>
      <c r="M131" s="3">
        <v>5</v>
      </c>
      <c r="N131" s="4">
        <v>44483</v>
      </c>
      <c r="O131" s="4"/>
      <c r="P131" s="5" t="b">
        <v>1</v>
      </c>
      <c r="Q131" s="7">
        <v>130</v>
      </c>
      <c r="R131" s="7"/>
      <c r="S131" s="7"/>
      <c r="T131" s="7"/>
      <c r="U131" s="3"/>
      <c r="Z131" t="s">
        <v>302</v>
      </c>
      <c r="AA131" s="3" t="s">
        <v>353</v>
      </c>
      <c r="AB131" s="3"/>
      <c r="AC131" s="3"/>
      <c r="AD131" s="3"/>
      <c r="AE131" s="3"/>
    </row>
    <row r="132" spans="1:32" x14ac:dyDescent="0.35">
      <c r="A132" s="3" t="str">
        <f t="shared" si="2"/>
        <v>Wen_WW_OT</v>
      </c>
      <c r="B132" s="3">
        <v>15</v>
      </c>
      <c r="C132" s="3">
        <v>2</v>
      </c>
      <c r="D132" s="3" t="s">
        <v>17</v>
      </c>
      <c r="E132" s="3">
        <v>131</v>
      </c>
      <c r="F132" s="3" t="s">
        <v>108</v>
      </c>
      <c r="G132" s="3" t="s">
        <v>19</v>
      </c>
      <c r="H132" s="3" t="s">
        <v>20</v>
      </c>
      <c r="I132" s="3" t="s">
        <v>25</v>
      </c>
      <c r="J132" s="3" t="s">
        <v>22</v>
      </c>
      <c r="K132" s="3" t="s">
        <v>23</v>
      </c>
      <c r="L132" s="3">
        <v>2</v>
      </c>
      <c r="M132" s="3">
        <v>8</v>
      </c>
      <c r="N132" s="4">
        <v>44483</v>
      </c>
      <c r="O132" s="54">
        <v>0.42708333333333331</v>
      </c>
      <c r="P132" s="5" t="b">
        <v>0</v>
      </c>
      <c r="Q132" s="7">
        <f>E132</f>
        <v>131</v>
      </c>
      <c r="R132" s="7"/>
      <c r="S132" s="7"/>
      <c r="T132" s="7"/>
      <c r="U132" s="3"/>
      <c r="AA132" s="3"/>
      <c r="AB132" s="3"/>
      <c r="AC132" t="s">
        <v>894</v>
      </c>
      <c r="AD132" t="s">
        <v>894</v>
      </c>
      <c r="AE132" t="s">
        <v>894</v>
      </c>
      <c r="AF132" t="s">
        <v>895</v>
      </c>
    </row>
    <row r="133" spans="1:32" x14ac:dyDescent="0.35">
      <c r="A133" s="3" t="str">
        <f t="shared" si="2"/>
        <v>Wen_WW_OT</v>
      </c>
      <c r="B133" s="3">
        <v>15</v>
      </c>
      <c r="C133" s="3">
        <v>2</v>
      </c>
      <c r="D133" s="3" t="s">
        <v>17</v>
      </c>
      <c r="E133" s="3">
        <v>131</v>
      </c>
      <c r="F133" s="3" t="s">
        <v>108</v>
      </c>
      <c r="G133" s="3" t="s">
        <v>19</v>
      </c>
      <c r="H133" s="3" t="s">
        <v>20</v>
      </c>
      <c r="I133" s="3" t="s">
        <v>25</v>
      </c>
      <c r="J133" s="3" t="s">
        <v>35</v>
      </c>
      <c r="K133" s="3" t="s">
        <v>23</v>
      </c>
      <c r="L133" s="3">
        <v>2</v>
      </c>
      <c r="M133" s="3">
        <v>8</v>
      </c>
      <c r="N133" s="4">
        <v>44483</v>
      </c>
      <c r="O133" s="54">
        <v>0.42708333333333331</v>
      </c>
      <c r="P133" s="5" t="b">
        <v>1</v>
      </c>
      <c r="Q133" s="7">
        <v>132</v>
      </c>
      <c r="R133" s="7">
        <v>2</v>
      </c>
      <c r="S133" s="7"/>
      <c r="T133" s="7"/>
      <c r="U133" s="3"/>
      <c r="Z133" t="s">
        <v>302</v>
      </c>
      <c r="AA133" s="3"/>
      <c r="AB133" s="3" t="s">
        <v>325</v>
      </c>
      <c r="AC133" s="3"/>
      <c r="AD133" s="3"/>
      <c r="AE133" s="3"/>
    </row>
    <row r="134" spans="1:32" x14ac:dyDescent="0.35">
      <c r="A134" s="3" t="str">
        <f t="shared" si="2"/>
        <v>Sto_WW_OT</v>
      </c>
      <c r="B134" s="3">
        <v>16</v>
      </c>
      <c r="C134" s="3">
        <v>2</v>
      </c>
      <c r="D134" s="3" t="s">
        <v>17</v>
      </c>
      <c r="E134" s="3">
        <v>133</v>
      </c>
      <c r="F134" s="3" t="s">
        <v>109</v>
      </c>
      <c r="G134" s="3" t="s">
        <v>19</v>
      </c>
      <c r="H134" s="3" t="s">
        <v>20</v>
      </c>
      <c r="I134" s="3" t="s">
        <v>21</v>
      </c>
      <c r="J134" s="3" t="s">
        <v>35</v>
      </c>
      <c r="K134" s="3"/>
      <c r="L134" s="3">
        <v>2</v>
      </c>
      <c r="M134" s="3">
        <v>5</v>
      </c>
      <c r="N134" s="4">
        <v>44483</v>
      </c>
      <c r="O134" s="54">
        <v>0.72916666666666663</v>
      </c>
      <c r="P134" s="5" t="b">
        <v>0</v>
      </c>
      <c r="Q134" s="7">
        <f>E134</f>
        <v>133</v>
      </c>
      <c r="R134" s="7"/>
      <c r="S134" s="7"/>
      <c r="T134" s="7"/>
      <c r="U134" s="3" t="s">
        <v>110</v>
      </c>
      <c r="AA134" s="3" t="s">
        <v>220</v>
      </c>
      <c r="AB134" s="3"/>
      <c r="AC134" s="3"/>
      <c r="AD134" s="3"/>
      <c r="AE134" s="3"/>
      <c r="AF134" t="s">
        <v>895</v>
      </c>
    </row>
    <row r="135" spans="1:32" x14ac:dyDescent="0.35">
      <c r="A135" s="3" t="str">
        <f t="shared" si="2"/>
        <v>Sto_WW_OT</v>
      </c>
      <c r="B135" s="3">
        <v>16</v>
      </c>
      <c r="C135" s="3">
        <v>2</v>
      </c>
      <c r="D135" s="3" t="s">
        <v>17</v>
      </c>
      <c r="E135" s="3">
        <v>133</v>
      </c>
      <c r="F135" s="3" t="s">
        <v>109</v>
      </c>
      <c r="G135" s="3" t="s">
        <v>19</v>
      </c>
      <c r="H135" s="3" t="s">
        <v>20</v>
      </c>
      <c r="I135" s="3" t="s">
        <v>21</v>
      </c>
      <c r="J135" s="3"/>
      <c r="K135" s="3" t="s">
        <v>27</v>
      </c>
      <c r="L135" s="3"/>
      <c r="M135" s="3">
        <v>5</v>
      </c>
      <c r="N135" s="4"/>
      <c r="O135" s="4"/>
      <c r="P135" s="5" t="b">
        <v>1</v>
      </c>
      <c r="Q135" s="7">
        <v>134</v>
      </c>
      <c r="R135" s="7"/>
      <c r="S135" s="7"/>
      <c r="T135" s="7"/>
      <c r="U135" s="3" t="s">
        <v>111</v>
      </c>
      <c r="AA135" s="3" t="s">
        <v>221</v>
      </c>
      <c r="AB135" s="3"/>
      <c r="AC135" s="3"/>
      <c r="AD135" s="3"/>
      <c r="AE135" s="3"/>
    </row>
    <row r="136" spans="1:32" x14ac:dyDescent="0.35">
      <c r="A136" s="3" t="str">
        <f t="shared" si="2"/>
        <v>Sto_WW_OT</v>
      </c>
      <c r="B136" s="3">
        <v>17</v>
      </c>
      <c r="C136" s="3">
        <v>2</v>
      </c>
      <c r="D136" s="3" t="s">
        <v>17</v>
      </c>
      <c r="E136" s="3">
        <v>135</v>
      </c>
      <c r="F136" s="3" t="s">
        <v>112</v>
      </c>
      <c r="G136" s="3" t="s">
        <v>19</v>
      </c>
      <c r="H136" s="3" t="s">
        <v>20</v>
      </c>
      <c r="I136" s="3" t="s">
        <v>21</v>
      </c>
      <c r="J136" s="3" t="s">
        <v>22</v>
      </c>
      <c r="K136" s="3" t="s">
        <v>23</v>
      </c>
      <c r="L136" s="3">
        <v>1</v>
      </c>
      <c r="M136" s="3">
        <v>3</v>
      </c>
      <c r="N136" s="4">
        <v>44466</v>
      </c>
      <c r="O136" s="4"/>
      <c r="P136" s="5" t="b">
        <v>0</v>
      </c>
      <c r="Q136" s="7">
        <f>E136</f>
        <v>135</v>
      </c>
      <c r="R136" s="7"/>
      <c r="S136" s="7"/>
      <c r="T136" s="7"/>
      <c r="U136" s="3"/>
      <c r="AA136" s="3"/>
      <c r="AB136" s="3"/>
      <c r="AC136" t="s">
        <v>894</v>
      </c>
      <c r="AD136" t="s">
        <v>894</v>
      </c>
      <c r="AE136" t="s">
        <v>894</v>
      </c>
      <c r="AF136" t="s">
        <v>895</v>
      </c>
    </row>
    <row r="137" spans="1:32" x14ac:dyDescent="0.35">
      <c r="A137" s="3" t="str">
        <f t="shared" si="2"/>
        <v>Sto_WW_OT</v>
      </c>
      <c r="B137" s="3">
        <v>17</v>
      </c>
      <c r="C137" s="3">
        <v>2</v>
      </c>
      <c r="D137" s="3" t="s">
        <v>17</v>
      </c>
      <c r="E137" s="3">
        <v>135</v>
      </c>
      <c r="F137" s="3" t="s">
        <v>112</v>
      </c>
      <c r="G137" s="3" t="s">
        <v>19</v>
      </c>
      <c r="H137" s="3" t="s">
        <v>20</v>
      </c>
      <c r="I137" s="3" t="s">
        <v>21</v>
      </c>
      <c r="J137" s="3" t="s">
        <v>22</v>
      </c>
      <c r="K137" s="3" t="s">
        <v>23</v>
      </c>
      <c r="L137" s="3">
        <v>1</v>
      </c>
      <c r="M137" s="3">
        <v>3</v>
      </c>
      <c r="N137" s="4">
        <v>44466</v>
      </c>
      <c r="O137" s="4"/>
      <c r="P137" s="5" t="b">
        <v>1</v>
      </c>
      <c r="Q137" s="7">
        <v>136</v>
      </c>
      <c r="R137" s="7"/>
      <c r="S137" s="7"/>
      <c r="T137" s="7"/>
      <c r="U137" s="3"/>
      <c r="AA137" s="3"/>
      <c r="AB137" s="3"/>
      <c r="AC137" t="s">
        <v>894</v>
      </c>
      <c r="AD137" t="s">
        <v>894</v>
      </c>
      <c r="AE137" t="s">
        <v>894</v>
      </c>
    </row>
    <row r="138" spans="1:32" x14ac:dyDescent="0.35">
      <c r="A138" s="3" t="str">
        <f t="shared" si="2"/>
        <v>Wen_WW_OT</v>
      </c>
      <c r="B138" s="3">
        <v>18</v>
      </c>
      <c r="C138" s="3">
        <v>2</v>
      </c>
      <c r="D138" s="3" t="s">
        <v>17</v>
      </c>
      <c r="E138" s="3">
        <v>137</v>
      </c>
      <c r="F138" s="3" t="s">
        <v>113</v>
      </c>
      <c r="G138" s="3" t="s">
        <v>19</v>
      </c>
      <c r="H138" s="3" t="s">
        <v>20</v>
      </c>
      <c r="I138" s="3" t="s">
        <v>25</v>
      </c>
      <c r="J138" s="3" t="s">
        <v>22</v>
      </c>
      <c r="K138" s="3" t="s">
        <v>23</v>
      </c>
      <c r="L138" s="3">
        <v>2</v>
      </c>
      <c r="M138" s="3">
        <v>3</v>
      </c>
      <c r="N138" s="4">
        <v>44483</v>
      </c>
      <c r="O138" s="54">
        <v>0.42708333333333331</v>
      </c>
      <c r="P138" s="5" t="b">
        <v>0</v>
      </c>
      <c r="Q138" s="7">
        <f>E138</f>
        <v>137</v>
      </c>
      <c r="R138" s="7"/>
      <c r="S138" s="7"/>
      <c r="T138" s="7"/>
      <c r="U138" s="3"/>
      <c r="AA138" s="3" t="s">
        <v>350</v>
      </c>
      <c r="AB138" s="3"/>
      <c r="AC138" t="s">
        <v>894</v>
      </c>
      <c r="AD138" t="s">
        <v>894</v>
      </c>
      <c r="AE138" t="s">
        <v>894</v>
      </c>
      <c r="AF138" t="s">
        <v>895</v>
      </c>
    </row>
    <row r="139" spans="1:32" x14ac:dyDescent="0.35">
      <c r="A139" s="3" t="str">
        <f t="shared" si="2"/>
        <v>Wen_WW_OT</v>
      </c>
      <c r="B139" s="3">
        <v>18</v>
      </c>
      <c r="C139" s="3">
        <v>2</v>
      </c>
      <c r="D139" s="3" t="s">
        <v>17</v>
      </c>
      <c r="E139" s="3">
        <v>137</v>
      </c>
      <c r="F139" s="3" t="s">
        <v>113</v>
      </c>
      <c r="G139" s="3" t="s">
        <v>19</v>
      </c>
      <c r="H139" s="3" t="s">
        <v>20</v>
      </c>
      <c r="I139" s="3" t="s">
        <v>25</v>
      </c>
      <c r="J139" s="3" t="s">
        <v>35</v>
      </c>
      <c r="K139" s="3" t="s">
        <v>23</v>
      </c>
      <c r="L139" s="3">
        <v>2</v>
      </c>
      <c r="M139" s="3">
        <v>3</v>
      </c>
      <c r="N139" s="4">
        <v>44483</v>
      </c>
      <c r="O139" s="54">
        <v>0.42708333333333331</v>
      </c>
      <c r="P139" s="5" t="b">
        <v>1</v>
      </c>
      <c r="Q139" s="7">
        <v>138</v>
      </c>
      <c r="R139" s="7">
        <v>4</v>
      </c>
      <c r="S139" s="7"/>
      <c r="T139" s="7"/>
      <c r="U139" s="3"/>
      <c r="AA139" s="3"/>
      <c r="AB139" s="3" t="s">
        <v>325</v>
      </c>
      <c r="AC139" s="3"/>
      <c r="AD139" s="3"/>
      <c r="AE139" s="3"/>
    </row>
    <row r="140" spans="1:32" x14ac:dyDescent="0.35">
      <c r="A140" s="3" t="str">
        <f t="shared" si="2"/>
        <v>Sto_WW_OT</v>
      </c>
      <c r="B140" s="3">
        <v>19</v>
      </c>
      <c r="C140" s="3">
        <v>2</v>
      </c>
      <c r="D140" s="3" t="s">
        <v>17</v>
      </c>
      <c r="E140" s="3">
        <v>139</v>
      </c>
      <c r="F140" s="3" t="s">
        <v>114</v>
      </c>
      <c r="G140" s="3" t="s">
        <v>19</v>
      </c>
      <c r="H140" s="3" t="s">
        <v>20</v>
      </c>
      <c r="I140" s="3" t="s">
        <v>21</v>
      </c>
      <c r="J140" s="3" t="s">
        <v>22</v>
      </c>
      <c r="K140" s="3" t="s">
        <v>27</v>
      </c>
      <c r="L140" s="3">
        <v>2</v>
      </c>
      <c r="M140" s="3">
        <v>3</v>
      </c>
      <c r="N140" s="4">
        <v>44483</v>
      </c>
      <c r="O140" s="54">
        <v>0.42708333333333331</v>
      </c>
      <c r="P140" s="5" t="b">
        <v>0</v>
      </c>
      <c r="Q140" s="7">
        <f>E140</f>
        <v>139</v>
      </c>
      <c r="R140" s="7"/>
      <c r="S140" s="7"/>
      <c r="T140" s="7"/>
      <c r="U140" s="3"/>
      <c r="AA140" s="3"/>
      <c r="AB140" s="3"/>
      <c r="AC140" t="s">
        <v>894</v>
      </c>
      <c r="AD140" t="s">
        <v>894</v>
      </c>
      <c r="AE140" t="s">
        <v>894</v>
      </c>
      <c r="AF140" t="s">
        <v>895</v>
      </c>
    </row>
    <row r="141" spans="1:32" x14ac:dyDescent="0.35">
      <c r="A141" s="3" t="str">
        <f t="shared" si="2"/>
        <v>Sto_WW_OT</v>
      </c>
      <c r="B141" s="3">
        <v>19</v>
      </c>
      <c r="C141" s="3">
        <v>2</v>
      </c>
      <c r="D141" s="3" t="s">
        <v>17</v>
      </c>
      <c r="E141" s="3">
        <v>139</v>
      </c>
      <c r="F141" s="3" t="s">
        <v>114</v>
      </c>
      <c r="G141" s="3" t="s">
        <v>19</v>
      </c>
      <c r="H141" s="3" t="s">
        <v>20</v>
      </c>
      <c r="I141" s="3" t="s">
        <v>21</v>
      </c>
      <c r="J141" s="3" t="s">
        <v>35</v>
      </c>
      <c r="K141" s="3" t="s">
        <v>27</v>
      </c>
      <c r="L141" s="3">
        <v>2</v>
      </c>
      <c r="M141" s="3">
        <v>3</v>
      </c>
      <c r="N141" s="4">
        <v>44483</v>
      </c>
      <c r="O141" s="54">
        <v>0.42708333333333331</v>
      </c>
      <c r="P141" s="5" t="b">
        <v>1</v>
      </c>
      <c r="Q141" s="7">
        <v>140</v>
      </c>
      <c r="R141" s="7">
        <v>5</v>
      </c>
      <c r="S141" s="7"/>
      <c r="T141" s="7"/>
      <c r="U141" s="3"/>
      <c r="Z141" t="s">
        <v>302</v>
      </c>
      <c r="AA141" s="3"/>
      <c r="AB141" s="3" t="s">
        <v>325</v>
      </c>
      <c r="AC141" s="3"/>
      <c r="AD141" s="3"/>
      <c r="AE141" s="3"/>
    </row>
    <row r="142" spans="1:32" x14ac:dyDescent="0.35">
      <c r="A142" s="3" t="str">
        <f t="shared" si="2"/>
        <v>Wen_WW_OT</v>
      </c>
      <c r="B142" s="3">
        <v>20</v>
      </c>
      <c r="C142" s="3">
        <v>2</v>
      </c>
      <c r="D142" s="3" t="s">
        <v>17</v>
      </c>
      <c r="E142" s="3">
        <v>141</v>
      </c>
      <c r="F142" s="3" t="s">
        <v>115</v>
      </c>
      <c r="G142" s="3" t="s">
        <v>19</v>
      </c>
      <c r="H142" s="3" t="s">
        <v>20</v>
      </c>
      <c r="I142" s="3" t="s">
        <v>25</v>
      </c>
      <c r="J142" s="3" t="s">
        <v>22</v>
      </c>
      <c r="K142" s="3" t="s">
        <v>23</v>
      </c>
      <c r="L142" s="3">
        <v>1</v>
      </c>
      <c r="M142" s="3">
        <v>3</v>
      </c>
      <c r="N142" s="4">
        <v>44466</v>
      </c>
      <c r="O142" s="4"/>
      <c r="P142" s="5" t="b">
        <f>ISEVEN(Q142)</f>
        <v>0</v>
      </c>
      <c r="Q142" s="7">
        <f>E142</f>
        <v>141</v>
      </c>
      <c r="R142" s="7"/>
      <c r="S142" s="7"/>
      <c r="T142" s="7"/>
      <c r="U142" s="3"/>
      <c r="AA142" s="3"/>
      <c r="AB142" s="3"/>
      <c r="AC142" t="s">
        <v>894</v>
      </c>
      <c r="AD142" t="s">
        <v>894</v>
      </c>
      <c r="AE142" t="s">
        <v>894</v>
      </c>
      <c r="AF142" t="s">
        <v>895</v>
      </c>
    </row>
    <row r="143" spans="1:32" x14ac:dyDescent="0.35">
      <c r="A143" s="3" t="str">
        <f t="shared" si="2"/>
        <v>Wen_WW_OT</v>
      </c>
      <c r="B143" s="3">
        <v>20</v>
      </c>
      <c r="C143" s="3">
        <v>2</v>
      </c>
      <c r="D143" s="3" t="s">
        <v>17</v>
      </c>
      <c r="E143" s="3">
        <v>141</v>
      </c>
      <c r="F143" s="3" t="s">
        <v>115</v>
      </c>
      <c r="G143" s="3" t="s">
        <v>19</v>
      </c>
      <c r="H143" s="3" t="s">
        <v>20</v>
      </c>
      <c r="I143" s="3" t="s">
        <v>25</v>
      </c>
      <c r="J143" s="3" t="s">
        <v>22</v>
      </c>
      <c r="K143" s="3" t="s">
        <v>23</v>
      </c>
      <c r="L143" s="3">
        <v>1</v>
      </c>
      <c r="M143" s="3">
        <v>3</v>
      </c>
      <c r="N143" s="4">
        <v>44466</v>
      </c>
      <c r="O143" s="4"/>
      <c r="P143" s="5" t="b">
        <f>ISEVEN(Q143)</f>
        <v>1</v>
      </c>
      <c r="Q143" s="7">
        <v>142</v>
      </c>
      <c r="R143" s="7"/>
      <c r="S143" s="7"/>
      <c r="T143" s="7"/>
      <c r="U143" s="3"/>
      <c r="AA143" s="3"/>
      <c r="AB143" s="3"/>
      <c r="AC143" t="s">
        <v>894</v>
      </c>
      <c r="AD143" t="s">
        <v>894</v>
      </c>
      <c r="AE143" t="s">
        <v>894</v>
      </c>
    </row>
    <row r="144" spans="1:32" x14ac:dyDescent="0.35">
      <c r="A144" s="3" t="str">
        <f t="shared" si="2"/>
        <v>Wen_WW_OT</v>
      </c>
      <c r="B144" s="3">
        <v>21</v>
      </c>
      <c r="C144" s="3">
        <v>2</v>
      </c>
      <c r="D144" s="3" t="s">
        <v>17</v>
      </c>
      <c r="E144" s="3">
        <v>143</v>
      </c>
      <c r="F144" s="3" t="s">
        <v>116</v>
      </c>
      <c r="G144" s="3" t="s">
        <v>19</v>
      </c>
      <c r="H144" s="3" t="s">
        <v>20</v>
      </c>
      <c r="I144" s="3" t="s">
        <v>25</v>
      </c>
      <c r="J144" s="3" t="s">
        <v>26</v>
      </c>
      <c r="K144" s="3" t="s">
        <v>27</v>
      </c>
      <c r="L144" s="3">
        <v>2</v>
      </c>
      <c r="M144" s="3"/>
      <c r="N144" s="4">
        <v>44483</v>
      </c>
      <c r="O144" s="4"/>
      <c r="P144" s="5" t="b">
        <v>0</v>
      </c>
      <c r="Q144" s="7">
        <f>E144</f>
        <v>143</v>
      </c>
      <c r="R144" s="7"/>
      <c r="S144" s="7"/>
      <c r="T144" s="7" t="s">
        <v>302</v>
      </c>
      <c r="U144" s="3"/>
      <c r="AA144" s="3" t="s">
        <v>259</v>
      </c>
      <c r="AB144" s="3" t="s">
        <v>326</v>
      </c>
      <c r="AC144" s="3" t="s">
        <v>896</v>
      </c>
      <c r="AD144" s="3" t="s">
        <v>896</v>
      </c>
      <c r="AE144" s="3" t="s">
        <v>896</v>
      </c>
    </row>
    <row r="145" spans="1:32" x14ac:dyDescent="0.35">
      <c r="A145" s="3" t="str">
        <f t="shared" si="2"/>
        <v>Wen_WW_OT</v>
      </c>
      <c r="B145" s="3">
        <v>21</v>
      </c>
      <c r="C145" s="3">
        <v>2</v>
      </c>
      <c r="D145" s="3" t="s">
        <v>17</v>
      </c>
      <c r="E145" s="3">
        <v>143</v>
      </c>
      <c r="F145" s="3" t="s">
        <v>116</v>
      </c>
      <c r="G145" s="3" t="s">
        <v>19</v>
      </c>
      <c r="H145" s="3" t="s">
        <v>20</v>
      </c>
      <c r="I145" s="3" t="s">
        <v>25</v>
      </c>
      <c r="J145" s="3" t="s">
        <v>28</v>
      </c>
      <c r="K145" s="3" t="s">
        <v>27</v>
      </c>
      <c r="L145" s="3">
        <v>2</v>
      </c>
      <c r="M145" s="3"/>
      <c r="N145" s="4">
        <v>44483</v>
      </c>
      <c r="O145" s="4"/>
      <c r="P145" s="5" t="b">
        <v>1</v>
      </c>
      <c r="Q145" s="7">
        <v>144</v>
      </c>
      <c r="R145" s="7"/>
      <c r="S145" s="7"/>
      <c r="T145" s="7"/>
      <c r="U145" s="3"/>
      <c r="Z145" t="s">
        <v>302</v>
      </c>
      <c r="AA145" s="3" t="s">
        <v>344</v>
      </c>
      <c r="AB145" s="3"/>
      <c r="AC145" s="3"/>
      <c r="AD145" s="3"/>
      <c r="AE145" s="3"/>
    </row>
    <row r="146" spans="1:32" x14ac:dyDescent="0.35">
      <c r="A146" s="3" t="str">
        <f t="shared" si="2"/>
        <v>Sto_WW_OT</v>
      </c>
      <c r="B146" s="3">
        <v>1</v>
      </c>
      <c r="C146" s="3">
        <v>5</v>
      </c>
      <c r="D146" s="3" t="s">
        <v>117</v>
      </c>
      <c r="E146" s="3">
        <v>1001</v>
      </c>
      <c r="F146" s="3" t="s">
        <v>118</v>
      </c>
      <c r="G146" s="3" t="s">
        <v>19</v>
      </c>
      <c r="H146" s="3" t="s">
        <v>20</v>
      </c>
      <c r="I146" s="3" t="s">
        <v>21</v>
      </c>
      <c r="J146" s="3" t="s">
        <v>22</v>
      </c>
      <c r="K146" s="3" t="s">
        <v>23</v>
      </c>
      <c r="L146" s="3">
        <v>1</v>
      </c>
      <c r="M146" s="3">
        <v>1</v>
      </c>
      <c r="N146" s="4">
        <v>44466</v>
      </c>
      <c r="O146" s="4"/>
      <c r="P146" s="5" t="b">
        <f>ISEVEN(Q146)</f>
        <v>0</v>
      </c>
      <c r="Q146" s="7">
        <f>E146</f>
        <v>1001</v>
      </c>
      <c r="R146" s="7"/>
      <c r="S146" s="7"/>
      <c r="T146" s="7"/>
      <c r="U146" s="3"/>
      <c r="AA146" s="3" t="s">
        <v>119</v>
      </c>
      <c r="AB146" s="3"/>
      <c r="AC146" t="s">
        <v>894</v>
      </c>
      <c r="AD146" t="s">
        <v>894</v>
      </c>
      <c r="AE146" t="s">
        <v>894</v>
      </c>
    </row>
    <row r="147" spans="1:32" x14ac:dyDescent="0.35">
      <c r="A147" s="3" t="str">
        <f t="shared" si="2"/>
        <v>Sto_WW_OT</v>
      </c>
      <c r="B147" s="3">
        <v>1</v>
      </c>
      <c r="C147" s="3">
        <v>5</v>
      </c>
      <c r="D147" s="3" t="s">
        <v>117</v>
      </c>
      <c r="E147" s="3">
        <v>1001</v>
      </c>
      <c r="F147" s="3" t="s">
        <v>118</v>
      </c>
      <c r="G147" s="3" t="s">
        <v>19</v>
      </c>
      <c r="H147" s="3" t="s">
        <v>20</v>
      </c>
      <c r="I147" s="3" t="s">
        <v>21</v>
      </c>
      <c r="J147" s="3" t="s">
        <v>22</v>
      </c>
      <c r="K147" s="3" t="s">
        <v>23</v>
      </c>
      <c r="L147" s="3">
        <v>1</v>
      </c>
      <c r="M147" s="3">
        <v>1</v>
      </c>
      <c r="N147" s="4">
        <v>44466</v>
      </c>
      <c r="O147" s="4"/>
      <c r="P147" s="5" t="b">
        <f>ISEVEN(Q147)</f>
        <v>1</v>
      </c>
      <c r="Q147" s="7">
        <v>1002</v>
      </c>
      <c r="R147" s="7"/>
      <c r="S147" s="7"/>
      <c r="T147" s="7"/>
      <c r="U147" s="3"/>
      <c r="AA147" s="3" t="s">
        <v>119</v>
      </c>
      <c r="AB147" s="3"/>
      <c r="AC147" t="s">
        <v>894</v>
      </c>
      <c r="AD147" t="s">
        <v>894</v>
      </c>
      <c r="AE147" t="s">
        <v>894</v>
      </c>
    </row>
    <row r="148" spans="1:32" x14ac:dyDescent="0.35">
      <c r="A148" s="3" t="str">
        <f t="shared" si="2"/>
        <v>Wen_WW_HS</v>
      </c>
      <c r="B148" s="3">
        <v>2</v>
      </c>
      <c r="C148" s="3">
        <v>5</v>
      </c>
      <c r="D148" s="3" t="s">
        <v>117</v>
      </c>
      <c r="E148" s="3">
        <v>1003</v>
      </c>
      <c r="F148" s="3" t="s">
        <v>120</v>
      </c>
      <c r="G148" s="3" t="s">
        <v>121</v>
      </c>
      <c r="H148" s="3" t="s">
        <v>20</v>
      </c>
      <c r="I148" s="3" t="s">
        <v>25</v>
      </c>
      <c r="J148" s="3" t="s">
        <v>26</v>
      </c>
      <c r="K148" s="3" t="s">
        <v>27</v>
      </c>
      <c r="L148" s="3">
        <v>2</v>
      </c>
      <c r="M148" s="3"/>
      <c r="N148" s="4">
        <v>44483</v>
      </c>
      <c r="O148" s="4"/>
      <c r="P148" s="5" t="b">
        <v>0</v>
      </c>
      <c r="Q148" s="7">
        <f>E148</f>
        <v>1003</v>
      </c>
      <c r="R148" s="7"/>
      <c r="S148" s="7"/>
      <c r="T148" s="7" t="s">
        <v>302</v>
      </c>
      <c r="U148" s="3"/>
      <c r="AA148" s="3" t="s">
        <v>209</v>
      </c>
      <c r="AB148" s="3" t="s">
        <v>326</v>
      </c>
      <c r="AC148" s="3" t="s">
        <v>896</v>
      </c>
      <c r="AD148" s="3" t="s">
        <v>896</v>
      </c>
      <c r="AE148" s="3" t="s">
        <v>896</v>
      </c>
    </row>
    <row r="149" spans="1:32" x14ac:dyDescent="0.35">
      <c r="A149" s="3" t="str">
        <f t="shared" si="2"/>
        <v>Wen_WW_HS</v>
      </c>
      <c r="B149" s="3">
        <v>2</v>
      </c>
      <c r="C149" s="3">
        <v>5</v>
      </c>
      <c r="D149" s="3" t="s">
        <v>117</v>
      </c>
      <c r="E149" s="3">
        <v>1003</v>
      </c>
      <c r="F149" s="3" t="s">
        <v>120</v>
      </c>
      <c r="G149" s="3" t="s">
        <v>121</v>
      </c>
      <c r="H149" s="3" t="s">
        <v>20</v>
      </c>
      <c r="I149" s="3" t="s">
        <v>25</v>
      </c>
      <c r="J149" s="3" t="s">
        <v>28</v>
      </c>
      <c r="K149" s="3" t="s">
        <v>27</v>
      </c>
      <c r="L149" s="3">
        <v>2</v>
      </c>
      <c r="M149" s="3">
        <v>1</v>
      </c>
      <c r="N149" s="4">
        <v>44483</v>
      </c>
      <c r="O149" s="4"/>
      <c r="P149" s="5" t="b">
        <v>1</v>
      </c>
      <c r="Q149" s="7">
        <v>1004</v>
      </c>
      <c r="R149" s="7"/>
      <c r="S149" s="7"/>
      <c r="T149" s="7"/>
      <c r="U149" s="3"/>
      <c r="Z149" t="s">
        <v>302</v>
      </c>
      <c r="AA149" s="3" t="s">
        <v>348</v>
      </c>
      <c r="AB149" s="3"/>
      <c r="AC149" s="3"/>
      <c r="AD149" s="3"/>
      <c r="AE149" s="3"/>
    </row>
    <row r="150" spans="1:32" x14ac:dyDescent="0.35">
      <c r="A150" s="3" t="str">
        <f t="shared" si="2"/>
        <v>Sto_WW_HS</v>
      </c>
      <c r="B150" s="3">
        <v>3</v>
      </c>
      <c r="C150" s="3">
        <v>5</v>
      </c>
      <c r="D150" s="3" t="s">
        <v>117</v>
      </c>
      <c r="E150" s="3">
        <v>1005</v>
      </c>
      <c r="F150" s="3" t="s">
        <v>122</v>
      </c>
      <c r="G150" s="3" t="s">
        <v>121</v>
      </c>
      <c r="H150" s="3" t="s">
        <v>20</v>
      </c>
      <c r="I150" s="3" t="s">
        <v>21</v>
      </c>
      <c r="J150" s="3" t="s">
        <v>26</v>
      </c>
      <c r="K150" s="3" t="s">
        <v>27</v>
      </c>
      <c r="L150" s="3">
        <v>2</v>
      </c>
      <c r="M150" s="3">
        <v>1</v>
      </c>
      <c r="N150" s="4">
        <v>44484</v>
      </c>
      <c r="O150" s="4"/>
      <c r="P150" s="5" t="b">
        <v>0</v>
      </c>
      <c r="Q150" s="7">
        <f>E150</f>
        <v>1005</v>
      </c>
      <c r="R150" s="7"/>
      <c r="S150" s="7"/>
      <c r="T150" s="7" t="s">
        <v>302</v>
      </c>
      <c r="U150" s="3" t="s">
        <v>123</v>
      </c>
      <c r="AA150" s="3" t="s">
        <v>279</v>
      </c>
      <c r="AB150" s="3"/>
      <c r="AC150" s="3" t="s">
        <v>896</v>
      </c>
      <c r="AD150" s="3" t="s">
        <v>896</v>
      </c>
      <c r="AE150" s="3" t="s">
        <v>896</v>
      </c>
    </row>
    <row r="151" spans="1:32" x14ac:dyDescent="0.35">
      <c r="A151" s="3" t="str">
        <f t="shared" si="2"/>
        <v>Sto_WW_HS</v>
      </c>
      <c r="B151" s="3">
        <v>3</v>
      </c>
      <c r="C151" s="3">
        <v>5</v>
      </c>
      <c r="D151" s="3" t="s">
        <v>117</v>
      </c>
      <c r="E151" s="3">
        <v>1005</v>
      </c>
      <c r="F151" s="3" t="s">
        <v>122</v>
      </c>
      <c r="G151" s="3" t="s">
        <v>121</v>
      </c>
      <c r="H151" s="3" t="s">
        <v>20</v>
      </c>
      <c r="I151" s="3" t="s">
        <v>21</v>
      </c>
      <c r="J151" s="3" t="s">
        <v>26</v>
      </c>
      <c r="K151" s="3"/>
      <c r="L151" s="3"/>
      <c r="M151" s="3">
        <v>1</v>
      </c>
      <c r="N151" s="4">
        <v>44484</v>
      </c>
      <c r="O151" s="4"/>
      <c r="P151" s="5" t="b">
        <v>1</v>
      </c>
      <c r="Q151" s="7">
        <v>1006</v>
      </c>
      <c r="R151" s="7"/>
      <c r="S151" s="7"/>
      <c r="T151" s="7" t="s">
        <v>302</v>
      </c>
      <c r="U151" s="3" t="s">
        <v>124</v>
      </c>
      <c r="AA151" s="3" t="s">
        <v>280</v>
      </c>
      <c r="AB151" s="3"/>
      <c r="AC151" s="3" t="s">
        <v>896</v>
      </c>
      <c r="AD151" s="3" t="s">
        <v>896</v>
      </c>
      <c r="AE151" s="3" t="s">
        <v>896</v>
      </c>
    </row>
    <row r="152" spans="1:32" x14ac:dyDescent="0.35">
      <c r="A152" s="3" t="str">
        <f t="shared" si="2"/>
        <v>Wen_WW_OT</v>
      </c>
      <c r="B152" s="3">
        <v>4</v>
      </c>
      <c r="C152" s="3">
        <v>5</v>
      </c>
      <c r="D152" s="3" t="s">
        <v>117</v>
      </c>
      <c r="E152" s="3">
        <v>1007</v>
      </c>
      <c r="F152" s="3" t="s">
        <v>125</v>
      </c>
      <c r="G152" s="3" t="s">
        <v>19</v>
      </c>
      <c r="H152" s="3" t="s">
        <v>20</v>
      </c>
      <c r="I152" s="3" t="s">
        <v>25</v>
      </c>
      <c r="J152" s="3" t="s">
        <v>22</v>
      </c>
      <c r="K152" s="3" t="s">
        <v>23</v>
      </c>
      <c r="L152" s="3">
        <v>1</v>
      </c>
      <c r="M152" s="3">
        <v>1</v>
      </c>
      <c r="N152" s="4">
        <v>44466</v>
      </c>
      <c r="O152" s="4"/>
      <c r="P152" s="5" t="b">
        <f>ISEVEN(Q152)</f>
        <v>0</v>
      </c>
      <c r="Q152" s="7">
        <f>E152</f>
        <v>1007</v>
      </c>
      <c r="R152" s="7"/>
      <c r="S152" s="7"/>
      <c r="T152" s="7"/>
      <c r="U152" s="3"/>
      <c r="AA152" s="3"/>
      <c r="AB152" s="3"/>
      <c r="AC152" t="s">
        <v>894</v>
      </c>
      <c r="AD152" t="s">
        <v>894</v>
      </c>
      <c r="AE152" t="s">
        <v>894</v>
      </c>
      <c r="AF152" t="s">
        <v>895</v>
      </c>
    </row>
    <row r="153" spans="1:32" x14ac:dyDescent="0.35">
      <c r="A153" s="3" t="str">
        <f t="shared" si="2"/>
        <v>Wen_WW_OT</v>
      </c>
      <c r="B153" s="3">
        <v>4</v>
      </c>
      <c r="C153" s="3">
        <v>5</v>
      </c>
      <c r="D153" s="3" t="s">
        <v>117</v>
      </c>
      <c r="E153" s="3">
        <v>1007</v>
      </c>
      <c r="F153" s="3" t="s">
        <v>125</v>
      </c>
      <c r="G153" s="3" t="s">
        <v>19</v>
      </c>
      <c r="H153" s="3" t="s">
        <v>20</v>
      </c>
      <c r="I153" s="3" t="s">
        <v>25</v>
      </c>
      <c r="J153" s="3" t="s">
        <v>22</v>
      </c>
      <c r="K153" s="3" t="s">
        <v>23</v>
      </c>
      <c r="L153" s="3">
        <v>1</v>
      </c>
      <c r="M153" s="3">
        <v>1</v>
      </c>
      <c r="N153" s="4">
        <v>44466</v>
      </c>
      <c r="O153" s="4"/>
      <c r="P153" s="5" t="b">
        <f>ISEVEN(Q153)</f>
        <v>1</v>
      </c>
      <c r="Q153" s="7">
        <v>1008</v>
      </c>
      <c r="R153" s="7"/>
      <c r="S153" s="7"/>
      <c r="T153" s="7"/>
      <c r="U153" s="3"/>
      <c r="AA153" s="3"/>
      <c r="AB153" s="3"/>
      <c r="AC153" t="s">
        <v>894</v>
      </c>
      <c r="AD153" t="s">
        <v>894</v>
      </c>
      <c r="AE153" t="s">
        <v>894</v>
      </c>
    </row>
    <row r="154" spans="1:32" x14ac:dyDescent="0.35">
      <c r="A154" s="3" t="str">
        <f t="shared" si="2"/>
        <v>Sto_WW_HS</v>
      </c>
      <c r="B154" s="3">
        <v>5</v>
      </c>
      <c r="C154" s="3">
        <v>5</v>
      </c>
      <c r="D154" s="3" t="s">
        <v>117</v>
      </c>
      <c r="E154" s="3">
        <v>1009</v>
      </c>
      <c r="F154" s="3" t="s">
        <v>126</v>
      </c>
      <c r="G154" s="3" t="s">
        <v>121</v>
      </c>
      <c r="H154" s="3" t="s">
        <v>20</v>
      </c>
      <c r="I154" s="3" t="s">
        <v>21</v>
      </c>
      <c r="J154" s="3" t="s">
        <v>26</v>
      </c>
      <c r="K154" s="3" t="s">
        <v>27</v>
      </c>
      <c r="L154" s="3">
        <v>2</v>
      </c>
      <c r="M154" s="3">
        <v>2</v>
      </c>
      <c r="N154" s="4">
        <v>44484</v>
      </c>
      <c r="O154" s="4"/>
      <c r="P154" s="5" t="b">
        <v>0</v>
      </c>
      <c r="Q154" s="7">
        <f>E154</f>
        <v>1009</v>
      </c>
      <c r="R154" s="7"/>
      <c r="S154" s="7"/>
      <c r="T154" s="7" t="s">
        <v>302</v>
      </c>
      <c r="U154" s="3"/>
      <c r="AA154" s="3" t="s">
        <v>280</v>
      </c>
      <c r="AB154" s="3" t="s">
        <v>326</v>
      </c>
      <c r="AC154" s="3" t="s">
        <v>896</v>
      </c>
      <c r="AD154" s="3" t="s">
        <v>896</v>
      </c>
      <c r="AE154" s="3" t="s">
        <v>896</v>
      </c>
    </row>
    <row r="155" spans="1:32" x14ac:dyDescent="0.35">
      <c r="A155" s="3" t="str">
        <f t="shared" si="2"/>
        <v>Sto_WW_HS</v>
      </c>
      <c r="B155" s="3">
        <v>5</v>
      </c>
      <c r="C155" s="3">
        <v>5</v>
      </c>
      <c r="D155" s="3" t="s">
        <v>117</v>
      </c>
      <c r="E155" s="3">
        <v>1009</v>
      </c>
      <c r="F155" s="3" t="s">
        <v>126</v>
      </c>
      <c r="G155" s="3" t="s">
        <v>121</v>
      </c>
      <c r="H155" s="3" t="s">
        <v>20</v>
      </c>
      <c r="I155" s="3" t="s">
        <v>21</v>
      </c>
      <c r="J155" s="3" t="s">
        <v>26</v>
      </c>
      <c r="K155" s="3" t="s">
        <v>27</v>
      </c>
      <c r="L155" s="3">
        <v>2</v>
      </c>
      <c r="M155" s="3">
        <v>2</v>
      </c>
      <c r="N155" s="4">
        <v>44484</v>
      </c>
      <c r="O155" s="4"/>
      <c r="P155" s="5" t="b">
        <v>1</v>
      </c>
      <c r="Q155" s="7">
        <v>1010</v>
      </c>
      <c r="R155" s="7"/>
      <c r="S155" s="7"/>
      <c r="T155" s="7" t="s">
        <v>302</v>
      </c>
      <c r="U155" s="3"/>
      <c r="AA155" s="3" t="s">
        <v>280</v>
      </c>
      <c r="AB155" s="3" t="s">
        <v>326</v>
      </c>
      <c r="AC155" s="3" t="s">
        <v>896</v>
      </c>
      <c r="AD155" s="3" t="s">
        <v>896</v>
      </c>
      <c r="AE155" s="3" t="s">
        <v>896</v>
      </c>
    </row>
    <row r="156" spans="1:32" x14ac:dyDescent="0.35">
      <c r="A156" s="3" t="str">
        <f t="shared" si="2"/>
        <v>Wen_WW_OT</v>
      </c>
      <c r="B156" s="3">
        <v>6</v>
      </c>
      <c r="C156" s="3">
        <v>5</v>
      </c>
      <c r="D156" s="3" t="s">
        <v>117</v>
      </c>
      <c r="E156" s="3">
        <v>1011</v>
      </c>
      <c r="F156" s="3" t="s">
        <v>127</v>
      </c>
      <c r="G156" s="3" t="s">
        <v>19</v>
      </c>
      <c r="H156" s="3" t="s">
        <v>20</v>
      </c>
      <c r="I156" s="3" t="s">
        <v>25</v>
      </c>
      <c r="J156" s="3" t="s">
        <v>22</v>
      </c>
      <c r="K156" s="3" t="s">
        <v>23</v>
      </c>
      <c r="L156" s="3">
        <v>1</v>
      </c>
      <c r="M156" s="3">
        <v>2</v>
      </c>
      <c r="N156" s="4">
        <v>44466</v>
      </c>
      <c r="O156" s="4"/>
      <c r="P156" s="5" t="b">
        <f>ISEVEN(Q156)</f>
        <v>0</v>
      </c>
      <c r="Q156" s="7">
        <f>E156</f>
        <v>1011</v>
      </c>
      <c r="R156" s="7"/>
      <c r="S156" s="7"/>
      <c r="T156" s="7"/>
      <c r="U156" s="3"/>
      <c r="AA156" s="3"/>
      <c r="AB156" s="3"/>
      <c r="AC156" t="s">
        <v>894</v>
      </c>
      <c r="AD156" t="s">
        <v>894</v>
      </c>
      <c r="AE156" t="s">
        <v>894</v>
      </c>
      <c r="AF156" t="s">
        <v>895</v>
      </c>
    </row>
    <row r="157" spans="1:32" x14ac:dyDescent="0.35">
      <c r="A157" s="3" t="str">
        <f t="shared" si="2"/>
        <v>Wen_WW_OT</v>
      </c>
      <c r="B157" s="3">
        <v>6</v>
      </c>
      <c r="C157" s="3">
        <v>5</v>
      </c>
      <c r="D157" s="3" t="s">
        <v>117</v>
      </c>
      <c r="E157" s="3">
        <v>1011</v>
      </c>
      <c r="F157" s="3" t="s">
        <v>127</v>
      </c>
      <c r="G157" s="3" t="s">
        <v>19</v>
      </c>
      <c r="H157" s="3" t="s">
        <v>20</v>
      </c>
      <c r="I157" s="3" t="s">
        <v>25</v>
      </c>
      <c r="J157" s="3" t="s">
        <v>22</v>
      </c>
      <c r="K157" s="3" t="s">
        <v>23</v>
      </c>
      <c r="L157" s="3">
        <v>1</v>
      </c>
      <c r="M157" s="3">
        <v>2</v>
      </c>
      <c r="N157" s="4">
        <v>44466</v>
      </c>
      <c r="O157" s="4"/>
      <c r="P157" s="5" t="b">
        <f>ISEVEN(Q157)</f>
        <v>1</v>
      </c>
      <c r="Q157" s="7">
        <v>1012</v>
      </c>
      <c r="R157" s="7"/>
      <c r="S157" s="7"/>
      <c r="T157" s="7"/>
      <c r="U157" s="3"/>
      <c r="AA157" s="3"/>
      <c r="AB157" s="3"/>
      <c r="AC157" t="s">
        <v>894</v>
      </c>
      <c r="AD157" t="s">
        <v>894</v>
      </c>
      <c r="AE157" t="s">
        <v>894</v>
      </c>
    </row>
    <row r="158" spans="1:32" x14ac:dyDescent="0.35">
      <c r="A158" s="3" t="str">
        <f t="shared" si="2"/>
        <v>Sto_WW_OT</v>
      </c>
      <c r="B158" s="3">
        <v>7</v>
      </c>
      <c r="C158" s="3">
        <v>5</v>
      </c>
      <c r="D158" s="3" t="s">
        <v>117</v>
      </c>
      <c r="E158" s="3">
        <v>1013</v>
      </c>
      <c r="F158" s="3" t="s">
        <v>128</v>
      </c>
      <c r="G158" s="3" t="s">
        <v>19</v>
      </c>
      <c r="H158" s="3" t="s">
        <v>20</v>
      </c>
      <c r="I158" s="3" t="s">
        <v>21</v>
      </c>
      <c r="J158" s="3" t="s">
        <v>22</v>
      </c>
      <c r="K158" s="3" t="s">
        <v>23</v>
      </c>
      <c r="L158" s="3">
        <v>1</v>
      </c>
      <c r="M158" s="3">
        <v>2</v>
      </c>
      <c r="N158" s="4">
        <v>44466</v>
      </c>
      <c r="O158" s="4"/>
      <c r="P158" s="5" t="b">
        <f>ISEVEN(Q158)</f>
        <v>0</v>
      </c>
      <c r="Q158" s="7">
        <f>E158</f>
        <v>1013</v>
      </c>
      <c r="R158" s="7"/>
      <c r="S158" s="7"/>
      <c r="T158" s="7"/>
      <c r="U158" s="3"/>
      <c r="AA158" s="3"/>
      <c r="AB158" s="3"/>
      <c r="AC158" t="s">
        <v>894</v>
      </c>
      <c r="AD158" t="s">
        <v>894</v>
      </c>
      <c r="AE158" t="s">
        <v>894</v>
      </c>
      <c r="AF158" t="s">
        <v>895</v>
      </c>
    </row>
    <row r="159" spans="1:32" x14ac:dyDescent="0.35">
      <c r="A159" s="3" t="str">
        <f t="shared" si="2"/>
        <v>Sto_WW_OT</v>
      </c>
      <c r="B159" s="3">
        <v>7</v>
      </c>
      <c r="C159" s="3">
        <v>5</v>
      </c>
      <c r="D159" s="3" t="s">
        <v>117</v>
      </c>
      <c r="E159" s="3">
        <v>1013</v>
      </c>
      <c r="F159" s="3" t="s">
        <v>128</v>
      </c>
      <c r="G159" s="3" t="s">
        <v>19</v>
      </c>
      <c r="H159" s="3" t="s">
        <v>20</v>
      </c>
      <c r="I159" s="3" t="s">
        <v>21</v>
      </c>
      <c r="J159" s="3" t="s">
        <v>22</v>
      </c>
      <c r="K159" s="3" t="s">
        <v>23</v>
      </c>
      <c r="L159" s="3">
        <v>1</v>
      </c>
      <c r="M159" s="3">
        <v>2</v>
      </c>
      <c r="N159" s="4">
        <v>44466</v>
      </c>
      <c r="O159" s="54"/>
      <c r="P159" s="5" t="b">
        <f>ISEVEN(Q159)</f>
        <v>1</v>
      </c>
      <c r="Q159" s="7">
        <v>1014</v>
      </c>
      <c r="R159" s="7"/>
      <c r="S159" s="7"/>
      <c r="T159" s="7"/>
      <c r="U159" s="3"/>
      <c r="AA159" s="3"/>
      <c r="AB159" s="3"/>
      <c r="AC159" t="s">
        <v>894</v>
      </c>
      <c r="AD159" t="s">
        <v>894</v>
      </c>
      <c r="AE159" t="s">
        <v>894</v>
      </c>
    </row>
    <row r="160" spans="1:32" x14ac:dyDescent="0.35">
      <c r="A160" s="3" t="str">
        <f t="shared" si="2"/>
        <v>Wen_WW_HS</v>
      </c>
      <c r="B160" s="3">
        <v>8</v>
      </c>
      <c r="C160" s="3">
        <v>5</v>
      </c>
      <c r="D160" s="3" t="s">
        <v>117</v>
      </c>
      <c r="E160" s="3">
        <v>1015</v>
      </c>
      <c r="F160" s="3" t="s">
        <v>129</v>
      </c>
      <c r="G160" s="3" t="s">
        <v>121</v>
      </c>
      <c r="H160" s="3" t="s">
        <v>20</v>
      </c>
      <c r="I160" s="3" t="s">
        <v>25</v>
      </c>
      <c r="J160" s="3" t="s">
        <v>26</v>
      </c>
      <c r="K160" s="3" t="s">
        <v>27</v>
      </c>
      <c r="L160" s="3">
        <v>2</v>
      </c>
      <c r="M160" s="3">
        <v>2</v>
      </c>
      <c r="N160" s="4">
        <v>44484</v>
      </c>
      <c r="O160" s="4"/>
      <c r="P160" s="5" t="b">
        <v>0</v>
      </c>
      <c r="Q160" s="7">
        <f>E160</f>
        <v>1015</v>
      </c>
      <c r="R160" s="7"/>
      <c r="S160" s="7"/>
      <c r="T160" s="7"/>
      <c r="U160" s="3"/>
      <c r="AA160" s="3" t="s">
        <v>281</v>
      </c>
      <c r="AB160" s="3"/>
      <c r="AC160" s="3" t="s">
        <v>896</v>
      </c>
      <c r="AD160" s="3" t="s">
        <v>896</v>
      </c>
      <c r="AE160" s="3" t="s">
        <v>896</v>
      </c>
    </row>
    <row r="161" spans="1:32" x14ac:dyDescent="0.35">
      <c r="A161" s="3" t="str">
        <f t="shared" si="2"/>
        <v>Wen_WW_HS</v>
      </c>
      <c r="B161" s="3">
        <v>8</v>
      </c>
      <c r="C161" s="3">
        <v>5</v>
      </c>
      <c r="D161" s="3" t="s">
        <v>117</v>
      </c>
      <c r="E161" s="3">
        <v>1015</v>
      </c>
      <c r="F161" s="3" t="s">
        <v>129</v>
      </c>
      <c r="G161" s="3" t="s">
        <v>121</v>
      </c>
      <c r="H161" s="3" t="s">
        <v>20</v>
      </c>
      <c r="I161" s="3" t="s">
        <v>25</v>
      </c>
      <c r="J161" s="3" t="s">
        <v>26</v>
      </c>
      <c r="K161" s="3" t="s">
        <v>27</v>
      </c>
      <c r="L161" s="3">
        <v>2</v>
      </c>
      <c r="M161" s="3">
        <v>2</v>
      </c>
      <c r="N161" s="4">
        <v>44484</v>
      </c>
      <c r="O161" s="4"/>
      <c r="P161" s="5" t="b">
        <v>1</v>
      </c>
      <c r="Q161" s="7">
        <v>1016</v>
      </c>
      <c r="R161" s="7"/>
      <c r="S161" s="7"/>
      <c r="T161" s="7"/>
      <c r="U161" s="3"/>
      <c r="AA161" s="3" t="s">
        <v>281</v>
      </c>
      <c r="AB161" s="3"/>
      <c r="AC161" s="3" t="s">
        <v>896</v>
      </c>
      <c r="AD161" s="3" t="s">
        <v>896</v>
      </c>
      <c r="AE161" s="3" t="s">
        <v>896</v>
      </c>
    </row>
    <row r="162" spans="1:32" x14ac:dyDescent="0.35">
      <c r="A162" s="3" t="str">
        <f t="shared" si="2"/>
        <v>Sto_WW_HS</v>
      </c>
      <c r="B162" s="3">
        <v>1</v>
      </c>
      <c r="C162" s="3">
        <v>4</v>
      </c>
      <c r="D162" s="3" t="s">
        <v>117</v>
      </c>
      <c r="E162" s="3">
        <v>1017</v>
      </c>
      <c r="F162" s="3" t="s">
        <v>130</v>
      </c>
      <c r="G162" s="3" t="s">
        <v>121</v>
      </c>
      <c r="H162" s="3" t="s">
        <v>20</v>
      </c>
      <c r="I162" s="3" t="s">
        <v>21</v>
      </c>
      <c r="J162" s="3" t="s">
        <v>22</v>
      </c>
      <c r="K162" s="3" t="s">
        <v>23</v>
      </c>
      <c r="L162" s="3">
        <v>2</v>
      </c>
      <c r="M162" s="3">
        <v>1</v>
      </c>
      <c r="N162" s="4">
        <v>44481</v>
      </c>
      <c r="O162" s="54">
        <v>0.38541666666666669</v>
      </c>
      <c r="P162" s="5" t="b">
        <v>0</v>
      </c>
      <c r="Q162" s="7">
        <f>E162</f>
        <v>1017</v>
      </c>
      <c r="R162" s="7"/>
      <c r="S162" s="7"/>
      <c r="T162" s="7"/>
      <c r="U162" s="3"/>
      <c r="AA162" s="3"/>
      <c r="AB162" s="3"/>
      <c r="AC162" t="s">
        <v>894</v>
      </c>
      <c r="AD162" t="s">
        <v>894</v>
      </c>
      <c r="AE162" t="s">
        <v>894</v>
      </c>
      <c r="AF162" t="s">
        <v>895</v>
      </c>
    </row>
    <row r="163" spans="1:32" x14ac:dyDescent="0.35">
      <c r="A163" s="3" t="str">
        <f t="shared" si="2"/>
        <v>Sto_WW_HS</v>
      </c>
      <c r="B163" s="3">
        <v>1</v>
      </c>
      <c r="C163" s="3">
        <v>4</v>
      </c>
      <c r="D163" s="3" t="s">
        <v>117</v>
      </c>
      <c r="E163" s="3">
        <v>1017</v>
      </c>
      <c r="F163" s="3" t="s">
        <v>130</v>
      </c>
      <c r="G163" s="3" t="s">
        <v>121</v>
      </c>
      <c r="H163" s="3" t="s">
        <v>20</v>
      </c>
      <c r="I163" s="3" t="s">
        <v>21</v>
      </c>
      <c r="J163" s="3" t="s">
        <v>35</v>
      </c>
      <c r="K163" s="3" t="s">
        <v>23</v>
      </c>
      <c r="L163" s="3">
        <v>2</v>
      </c>
      <c r="M163" s="3">
        <v>1</v>
      </c>
      <c r="N163" s="4">
        <v>44481</v>
      </c>
      <c r="O163" s="54">
        <v>0.38541666666666669</v>
      </c>
      <c r="P163" s="5" t="b">
        <v>1</v>
      </c>
      <c r="Q163" s="7">
        <v>1018</v>
      </c>
      <c r="R163" s="7">
        <v>21</v>
      </c>
      <c r="S163" s="7"/>
      <c r="T163" s="7"/>
      <c r="U163" s="3"/>
      <c r="Z163" t="s">
        <v>302</v>
      </c>
      <c r="AA163" s="3"/>
      <c r="AB163" s="3" t="s">
        <v>325</v>
      </c>
      <c r="AC163" s="3"/>
      <c r="AD163" s="3"/>
      <c r="AE163" s="3"/>
    </row>
    <row r="164" spans="1:32" x14ac:dyDescent="0.35">
      <c r="A164" s="3" t="str">
        <f t="shared" si="2"/>
        <v>Wen_WW_HS</v>
      </c>
      <c r="B164" s="3">
        <v>2</v>
      </c>
      <c r="C164" s="3">
        <v>4</v>
      </c>
      <c r="D164" s="3" t="s">
        <v>117</v>
      </c>
      <c r="E164" s="3">
        <v>1019</v>
      </c>
      <c r="F164" s="3" t="s">
        <v>131</v>
      </c>
      <c r="G164" s="3" t="s">
        <v>121</v>
      </c>
      <c r="H164" s="3" t="s">
        <v>20</v>
      </c>
      <c r="I164" s="3" t="s">
        <v>25</v>
      </c>
      <c r="J164" s="3" t="s">
        <v>22</v>
      </c>
      <c r="K164" s="3" t="s">
        <v>23</v>
      </c>
      <c r="L164" s="3">
        <v>2</v>
      </c>
      <c r="M164" s="3">
        <v>1</v>
      </c>
      <c r="N164" s="4">
        <v>44481</v>
      </c>
      <c r="O164" s="54">
        <v>0.38541666666666669</v>
      </c>
      <c r="P164" s="5" t="b">
        <v>0</v>
      </c>
      <c r="Q164" s="7">
        <f>E164</f>
        <v>1019</v>
      </c>
      <c r="R164" s="7"/>
      <c r="S164" s="7"/>
      <c r="T164" s="7"/>
      <c r="U164" s="3"/>
      <c r="Y164" t="s">
        <v>302</v>
      </c>
      <c r="AA164" s="3"/>
      <c r="AB164" s="3"/>
      <c r="AC164" t="s">
        <v>894</v>
      </c>
      <c r="AD164" t="s">
        <v>894</v>
      </c>
      <c r="AE164" t="s">
        <v>894</v>
      </c>
      <c r="AF164" t="s">
        <v>895</v>
      </c>
    </row>
    <row r="165" spans="1:32" x14ac:dyDescent="0.35">
      <c r="A165" s="3" t="str">
        <f t="shared" si="2"/>
        <v>Wen_WW_HS</v>
      </c>
      <c r="B165" s="3">
        <v>2</v>
      </c>
      <c r="C165" s="3">
        <v>4</v>
      </c>
      <c r="D165" s="3" t="s">
        <v>117</v>
      </c>
      <c r="E165" s="3">
        <v>1019</v>
      </c>
      <c r="F165" s="3" t="s">
        <v>131</v>
      </c>
      <c r="G165" s="3" t="s">
        <v>121</v>
      </c>
      <c r="H165" s="3" t="s">
        <v>20</v>
      </c>
      <c r="I165" s="3" t="s">
        <v>25</v>
      </c>
      <c r="J165" s="3" t="s">
        <v>35</v>
      </c>
      <c r="K165" s="3" t="s">
        <v>23</v>
      </c>
      <c r="L165" s="3">
        <v>2</v>
      </c>
      <c r="M165" s="3">
        <v>1</v>
      </c>
      <c r="N165" s="4">
        <v>44481</v>
      </c>
      <c r="O165" s="54">
        <v>0.38541666666666669</v>
      </c>
      <c r="P165" s="5" t="b">
        <v>1</v>
      </c>
      <c r="Q165" s="7">
        <v>1020</v>
      </c>
      <c r="R165" s="7">
        <v>17</v>
      </c>
      <c r="S165" s="7"/>
      <c r="T165" s="7"/>
      <c r="U165" s="3"/>
      <c r="Z165" t="s">
        <v>302</v>
      </c>
      <c r="AA165" s="3"/>
      <c r="AB165" s="3" t="s">
        <v>325</v>
      </c>
      <c r="AC165" s="3"/>
      <c r="AD165" s="3"/>
      <c r="AE165" s="3"/>
    </row>
    <row r="166" spans="1:32" x14ac:dyDescent="0.35">
      <c r="A166" s="3" t="str">
        <f t="shared" si="2"/>
        <v>Wen_WS_HS</v>
      </c>
      <c r="B166" s="3">
        <v>3</v>
      </c>
      <c r="C166" s="3">
        <v>4</v>
      </c>
      <c r="D166" s="3" t="s">
        <v>117</v>
      </c>
      <c r="E166" s="3">
        <v>1021</v>
      </c>
      <c r="F166" s="3" t="s">
        <v>132</v>
      </c>
      <c r="G166" s="3" t="s">
        <v>121</v>
      </c>
      <c r="H166" s="3" t="s">
        <v>39</v>
      </c>
      <c r="I166" s="3" t="s">
        <v>25</v>
      </c>
      <c r="J166" s="3" t="s">
        <v>26</v>
      </c>
      <c r="K166" s="3" t="s">
        <v>27</v>
      </c>
      <c r="L166" s="3">
        <v>2</v>
      </c>
      <c r="M166" s="3">
        <v>1</v>
      </c>
      <c r="N166" s="4">
        <v>44481</v>
      </c>
      <c r="O166" s="4"/>
      <c r="P166" s="5" t="b">
        <v>0</v>
      </c>
      <c r="Q166" s="7">
        <f>E166</f>
        <v>1021</v>
      </c>
      <c r="R166" s="7"/>
      <c r="S166" s="7"/>
      <c r="T166" s="7" t="s">
        <v>302</v>
      </c>
      <c r="U166" s="3"/>
      <c r="AA166" s="3"/>
      <c r="AB166" s="3" t="s">
        <v>326</v>
      </c>
      <c r="AC166" s="3" t="s">
        <v>896</v>
      </c>
      <c r="AD166" s="3" t="s">
        <v>896</v>
      </c>
      <c r="AE166" s="3" t="s">
        <v>896</v>
      </c>
      <c r="AF166" t="s">
        <v>895</v>
      </c>
    </row>
    <row r="167" spans="1:32" x14ac:dyDescent="0.35">
      <c r="A167" s="3" t="str">
        <f t="shared" si="2"/>
        <v>Wen_WS_HS</v>
      </c>
      <c r="B167" s="3">
        <v>3</v>
      </c>
      <c r="C167" s="3">
        <v>4</v>
      </c>
      <c r="D167" s="3" t="s">
        <v>117</v>
      </c>
      <c r="E167" s="3">
        <v>1021</v>
      </c>
      <c r="F167" s="3" t="s">
        <v>132</v>
      </c>
      <c r="G167" s="3" t="s">
        <v>121</v>
      </c>
      <c r="H167" s="3" t="s">
        <v>39</v>
      </c>
      <c r="I167" s="3" t="s">
        <v>25</v>
      </c>
      <c r="J167" s="3" t="s">
        <v>28</v>
      </c>
      <c r="K167" s="3" t="s">
        <v>27</v>
      </c>
      <c r="L167" s="3">
        <v>2</v>
      </c>
      <c r="M167" s="3">
        <v>1</v>
      </c>
      <c r="N167" s="4">
        <v>44481</v>
      </c>
      <c r="O167" s="4"/>
      <c r="P167" s="5" t="b">
        <v>1</v>
      </c>
      <c r="Q167" s="7">
        <v>1022</v>
      </c>
      <c r="R167" s="7"/>
      <c r="S167" s="7"/>
      <c r="T167" s="7"/>
      <c r="U167" s="3"/>
      <c r="Z167" t="s">
        <v>302</v>
      </c>
      <c r="AA167" s="3"/>
      <c r="AB167" s="3"/>
      <c r="AC167" s="3"/>
      <c r="AD167" s="3"/>
      <c r="AE167" s="3"/>
    </row>
    <row r="168" spans="1:32" x14ac:dyDescent="0.35">
      <c r="A168" s="3" t="str">
        <f t="shared" si="2"/>
        <v>Wen_WS_HS</v>
      </c>
      <c r="B168" s="3">
        <v>4</v>
      </c>
      <c r="C168" s="3">
        <v>4</v>
      </c>
      <c r="D168" s="3" t="s">
        <v>117</v>
      </c>
      <c r="E168" s="3">
        <v>1023</v>
      </c>
      <c r="F168" s="3" t="s">
        <v>133</v>
      </c>
      <c r="G168" s="3" t="s">
        <v>121</v>
      </c>
      <c r="H168" s="3" t="s">
        <v>39</v>
      </c>
      <c r="I168" s="3" t="s">
        <v>25</v>
      </c>
      <c r="J168" s="3" t="s">
        <v>22</v>
      </c>
      <c r="K168" s="3" t="s">
        <v>23</v>
      </c>
      <c r="L168" s="3">
        <v>2</v>
      </c>
      <c r="M168" s="3">
        <v>1</v>
      </c>
      <c r="N168" s="4">
        <v>44481</v>
      </c>
      <c r="O168" s="54">
        <v>0.38541666666666669</v>
      </c>
      <c r="P168" s="5" t="b">
        <v>0</v>
      </c>
      <c r="Q168" s="7">
        <f>E168</f>
        <v>1023</v>
      </c>
      <c r="R168" s="7"/>
      <c r="S168" s="7"/>
      <c r="T168" s="7"/>
      <c r="U168" s="3"/>
      <c r="AA168" s="3"/>
      <c r="AB168" s="3"/>
      <c r="AC168" t="s">
        <v>894</v>
      </c>
      <c r="AD168" t="s">
        <v>894</v>
      </c>
      <c r="AE168" t="s">
        <v>894</v>
      </c>
      <c r="AF168" t="s">
        <v>895</v>
      </c>
    </row>
    <row r="169" spans="1:32" x14ac:dyDescent="0.35">
      <c r="A169" s="3" t="str">
        <f t="shared" si="2"/>
        <v>Wen_WS_HS</v>
      </c>
      <c r="B169" s="3">
        <v>4</v>
      </c>
      <c r="C169" s="3">
        <v>4</v>
      </c>
      <c r="D169" s="3" t="s">
        <v>117</v>
      </c>
      <c r="E169" s="3">
        <v>1023</v>
      </c>
      <c r="F169" s="3" t="s">
        <v>133</v>
      </c>
      <c r="G169" s="3" t="s">
        <v>121</v>
      </c>
      <c r="H169" s="3" t="s">
        <v>39</v>
      </c>
      <c r="I169" s="3" t="s">
        <v>25</v>
      </c>
      <c r="J169" s="3" t="s">
        <v>35</v>
      </c>
      <c r="K169" s="3" t="s">
        <v>23</v>
      </c>
      <c r="L169" s="3">
        <v>2</v>
      </c>
      <c r="M169" s="3">
        <v>1</v>
      </c>
      <c r="N169" s="4">
        <v>44481</v>
      </c>
      <c r="O169" s="54">
        <v>0.38541666666666669</v>
      </c>
      <c r="P169" s="5" t="b">
        <v>1</v>
      </c>
      <c r="Q169" s="7">
        <v>1024</v>
      </c>
      <c r="R169" s="7">
        <v>32</v>
      </c>
      <c r="S169" s="7"/>
      <c r="T169" s="7"/>
      <c r="U169" s="3"/>
      <c r="Z169" t="s">
        <v>302</v>
      </c>
      <c r="AA169" s="3"/>
      <c r="AB169" s="3" t="s">
        <v>325</v>
      </c>
      <c r="AC169" s="3"/>
      <c r="AD169" s="3"/>
      <c r="AE169" s="3"/>
    </row>
    <row r="170" spans="1:32" x14ac:dyDescent="0.35">
      <c r="A170" s="3" t="str">
        <f t="shared" si="2"/>
        <v>Sto_WS_HS</v>
      </c>
      <c r="B170" s="3">
        <v>5</v>
      </c>
      <c r="C170" s="3">
        <v>4</v>
      </c>
      <c r="D170" s="3" t="s">
        <v>117</v>
      </c>
      <c r="E170" s="3">
        <v>1025</v>
      </c>
      <c r="F170" s="3" t="s">
        <v>134</v>
      </c>
      <c r="G170" s="3" t="s">
        <v>121</v>
      </c>
      <c r="H170" s="3" t="s">
        <v>39</v>
      </c>
      <c r="I170" s="3" t="s">
        <v>21</v>
      </c>
      <c r="J170" s="3" t="s">
        <v>22</v>
      </c>
      <c r="K170" s="3" t="s">
        <v>23</v>
      </c>
      <c r="L170" s="3">
        <v>2</v>
      </c>
      <c r="M170" s="3">
        <v>1</v>
      </c>
      <c r="N170" s="4">
        <v>44481</v>
      </c>
      <c r="O170" s="54">
        <v>0.38541666666666669</v>
      </c>
      <c r="P170" s="5" t="b">
        <v>0</v>
      </c>
      <c r="Q170" s="7">
        <f>E170</f>
        <v>1025</v>
      </c>
      <c r="R170" s="7"/>
      <c r="S170" s="7"/>
      <c r="T170" s="7"/>
      <c r="U170" s="3"/>
      <c r="AA170" s="3"/>
      <c r="AB170" s="3"/>
      <c r="AC170" t="s">
        <v>894</v>
      </c>
      <c r="AD170" t="s">
        <v>894</v>
      </c>
      <c r="AE170" t="s">
        <v>894</v>
      </c>
      <c r="AF170" t="s">
        <v>895</v>
      </c>
    </row>
    <row r="171" spans="1:32" x14ac:dyDescent="0.35">
      <c r="A171" s="3" t="str">
        <f t="shared" si="2"/>
        <v>Sto_WS_HS</v>
      </c>
      <c r="B171" s="3">
        <v>5</v>
      </c>
      <c r="C171" s="3">
        <v>4</v>
      </c>
      <c r="D171" s="3" t="s">
        <v>117</v>
      </c>
      <c r="E171" s="3">
        <v>1025</v>
      </c>
      <c r="F171" s="3" t="s">
        <v>134</v>
      </c>
      <c r="G171" s="3" t="s">
        <v>121</v>
      </c>
      <c r="H171" s="3" t="s">
        <v>39</v>
      </c>
      <c r="I171" s="3" t="s">
        <v>21</v>
      </c>
      <c r="J171" s="3" t="s">
        <v>35</v>
      </c>
      <c r="K171" s="3" t="s">
        <v>23</v>
      </c>
      <c r="L171" s="3">
        <v>2</v>
      </c>
      <c r="M171" s="3">
        <v>1</v>
      </c>
      <c r="N171" s="4">
        <v>44481</v>
      </c>
      <c r="O171" s="54">
        <v>0.38541666666666669</v>
      </c>
      <c r="P171" s="5" t="b">
        <v>1</v>
      </c>
      <c r="Q171" s="7">
        <v>1026</v>
      </c>
      <c r="R171" s="7">
        <v>25</v>
      </c>
      <c r="S171" s="7"/>
      <c r="T171" s="7"/>
      <c r="U171" s="3"/>
      <c r="Z171" t="s">
        <v>302</v>
      </c>
      <c r="AA171" s="3"/>
      <c r="AB171" s="3" t="s">
        <v>325</v>
      </c>
      <c r="AC171" s="3"/>
      <c r="AD171" s="3"/>
      <c r="AE171" s="3"/>
    </row>
    <row r="172" spans="1:32" x14ac:dyDescent="0.35">
      <c r="A172" s="3" t="str">
        <f t="shared" si="2"/>
        <v>Sto_WW_HS</v>
      </c>
      <c r="B172" s="3">
        <v>6</v>
      </c>
      <c r="C172" s="3">
        <v>4</v>
      </c>
      <c r="D172" s="3" t="s">
        <v>117</v>
      </c>
      <c r="E172" s="3">
        <v>1027</v>
      </c>
      <c r="F172" s="3" t="s">
        <v>135</v>
      </c>
      <c r="G172" s="3" t="s">
        <v>121</v>
      </c>
      <c r="H172" s="3" t="s">
        <v>20</v>
      </c>
      <c r="I172" s="3" t="s">
        <v>21</v>
      </c>
      <c r="J172" s="3" t="s">
        <v>22</v>
      </c>
      <c r="K172" s="3" t="s">
        <v>23</v>
      </c>
      <c r="L172" s="3">
        <v>2</v>
      </c>
      <c r="M172" s="3">
        <v>2</v>
      </c>
      <c r="N172" s="4">
        <v>44481</v>
      </c>
      <c r="O172" s="54">
        <v>0.38541666666666669</v>
      </c>
      <c r="P172" s="5" t="b">
        <v>0</v>
      </c>
      <c r="Q172" s="7">
        <f>E172</f>
        <v>1027</v>
      </c>
      <c r="R172" s="7"/>
      <c r="S172" s="7"/>
      <c r="T172" s="7"/>
      <c r="U172" s="3"/>
      <c r="AA172" s="3"/>
      <c r="AB172" s="3"/>
      <c r="AC172" t="s">
        <v>894</v>
      </c>
      <c r="AD172" t="s">
        <v>894</v>
      </c>
      <c r="AE172" t="s">
        <v>894</v>
      </c>
      <c r="AF172" t="s">
        <v>895</v>
      </c>
    </row>
    <row r="173" spans="1:32" x14ac:dyDescent="0.35">
      <c r="A173" s="3" t="str">
        <f t="shared" si="2"/>
        <v>Sto_WW_HS</v>
      </c>
      <c r="B173" s="3">
        <v>6</v>
      </c>
      <c r="C173" s="3">
        <v>4</v>
      </c>
      <c r="D173" s="3" t="s">
        <v>117</v>
      </c>
      <c r="E173" s="3">
        <v>1027</v>
      </c>
      <c r="F173" s="3" t="s">
        <v>135</v>
      </c>
      <c r="G173" s="3" t="s">
        <v>121</v>
      </c>
      <c r="H173" s="3" t="s">
        <v>20</v>
      </c>
      <c r="I173" s="3" t="s">
        <v>21</v>
      </c>
      <c r="J173" s="3" t="s">
        <v>35</v>
      </c>
      <c r="K173" s="3" t="s">
        <v>23</v>
      </c>
      <c r="L173" s="3">
        <v>2</v>
      </c>
      <c r="M173" s="3">
        <v>2</v>
      </c>
      <c r="N173" s="4">
        <v>44481</v>
      </c>
      <c r="O173" s="54">
        <v>0.38541666666666669</v>
      </c>
      <c r="P173" s="5" t="b">
        <v>1</v>
      </c>
      <c r="Q173" s="7">
        <v>1028</v>
      </c>
      <c r="R173" s="7">
        <v>22</v>
      </c>
      <c r="S173" s="7"/>
      <c r="T173" s="7"/>
      <c r="U173" s="3"/>
      <c r="Z173" t="s">
        <v>302</v>
      </c>
      <c r="AA173" s="3"/>
      <c r="AB173" s="3" t="s">
        <v>325</v>
      </c>
      <c r="AC173" s="3"/>
      <c r="AD173" s="3"/>
      <c r="AE173" s="3"/>
    </row>
    <row r="174" spans="1:32" x14ac:dyDescent="0.35">
      <c r="A174" s="3" t="str">
        <f t="shared" si="2"/>
        <v>Wen_WW_HS</v>
      </c>
      <c r="B174" s="3">
        <v>7</v>
      </c>
      <c r="C174" s="3">
        <v>4</v>
      </c>
      <c r="D174" s="3" t="s">
        <v>117</v>
      </c>
      <c r="E174" s="3">
        <v>1029</v>
      </c>
      <c r="F174" s="3" t="s">
        <v>136</v>
      </c>
      <c r="G174" s="3" t="s">
        <v>121</v>
      </c>
      <c r="H174" s="3" t="s">
        <v>20</v>
      </c>
      <c r="I174" s="3" t="s">
        <v>25</v>
      </c>
      <c r="J174" s="3" t="s">
        <v>22</v>
      </c>
      <c r="K174" s="3" t="s">
        <v>23</v>
      </c>
      <c r="L174" s="3">
        <v>2</v>
      </c>
      <c r="M174" s="3">
        <v>2</v>
      </c>
      <c r="N174" s="4">
        <v>44481</v>
      </c>
      <c r="O174" s="54">
        <v>0.38541666666666669</v>
      </c>
      <c r="P174" s="5" t="b">
        <v>0</v>
      </c>
      <c r="Q174" s="7">
        <f>E174</f>
        <v>1029</v>
      </c>
      <c r="R174" s="7"/>
      <c r="S174" s="7"/>
      <c r="T174" s="7"/>
      <c r="U174" s="3"/>
      <c r="AA174" s="3"/>
      <c r="AB174" s="3"/>
      <c r="AC174" t="s">
        <v>894</v>
      </c>
      <c r="AD174" t="s">
        <v>894</v>
      </c>
      <c r="AE174" t="s">
        <v>894</v>
      </c>
      <c r="AF174" t="s">
        <v>895</v>
      </c>
    </row>
    <row r="175" spans="1:32" x14ac:dyDescent="0.35">
      <c r="A175" s="3" t="str">
        <f t="shared" si="2"/>
        <v>Wen_WW_HS</v>
      </c>
      <c r="B175" s="3">
        <v>7</v>
      </c>
      <c r="C175" s="3">
        <v>4</v>
      </c>
      <c r="D175" s="3" t="s">
        <v>117</v>
      </c>
      <c r="E175" s="3">
        <v>1029</v>
      </c>
      <c r="F175" s="3" t="s">
        <v>136</v>
      </c>
      <c r="G175" s="3" t="s">
        <v>121</v>
      </c>
      <c r="H175" s="3" t="s">
        <v>20</v>
      </c>
      <c r="I175" s="3" t="s">
        <v>25</v>
      </c>
      <c r="J175" s="3" t="s">
        <v>35</v>
      </c>
      <c r="K175" s="3" t="s">
        <v>23</v>
      </c>
      <c r="L175" s="3">
        <v>2</v>
      </c>
      <c r="M175" s="3">
        <v>2</v>
      </c>
      <c r="N175" s="4">
        <v>44481</v>
      </c>
      <c r="O175" s="54">
        <v>0.38541666666666669</v>
      </c>
      <c r="P175" s="5" t="b">
        <v>1</v>
      </c>
      <c r="Q175" s="7">
        <v>1030</v>
      </c>
      <c r="R175" s="7">
        <v>18</v>
      </c>
      <c r="S175" s="7"/>
      <c r="T175" s="7"/>
      <c r="U175" s="3"/>
      <c r="Z175" t="s">
        <v>302</v>
      </c>
      <c r="AA175" s="3"/>
      <c r="AB175" s="3" t="s">
        <v>325</v>
      </c>
      <c r="AC175" s="3"/>
      <c r="AD175" s="3"/>
      <c r="AE175" s="3"/>
    </row>
    <row r="176" spans="1:32" x14ac:dyDescent="0.35">
      <c r="A176" s="3" t="str">
        <f t="shared" si="2"/>
        <v>Sto_WW_HS</v>
      </c>
      <c r="B176" s="3">
        <v>8</v>
      </c>
      <c r="C176" s="3">
        <v>4</v>
      </c>
      <c r="D176" s="3" t="s">
        <v>117</v>
      </c>
      <c r="E176" s="3">
        <v>1031</v>
      </c>
      <c r="F176" s="3" t="s">
        <v>137</v>
      </c>
      <c r="G176" s="3" t="s">
        <v>121</v>
      </c>
      <c r="H176" s="3" t="s">
        <v>20</v>
      </c>
      <c r="I176" s="3" t="s">
        <v>21</v>
      </c>
      <c r="J176" s="3" t="s">
        <v>26</v>
      </c>
      <c r="K176" s="3" t="s">
        <v>27</v>
      </c>
      <c r="L176" s="3">
        <v>2</v>
      </c>
      <c r="M176" s="3">
        <v>1</v>
      </c>
      <c r="N176" s="4">
        <v>44481</v>
      </c>
      <c r="O176" s="4"/>
      <c r="P176" s="5" t="b">
        <v>0</v>
      </c>
      <c r="Q176" s="7">
        <f>E176</f>
        <v>1031</v>
      </c>
      <c r="R176" s="7"/>
      <c r="S176" s="7"/>
      <c r="T176" s="7" t="s">
        <v>302</v>
      </c>
      <c r="U176" s="3"/>
      <c r="AA176" s="3"/>
      <c r="AB176" s="3" t="s">
        <v>326</v>
      </c>
      <c r="AC176" s="3" t="s">
        <v>896</v>
      </c>
      <c r="AD176" s="3" t="s">
        <v>896</v>
      </c>
      <c r="AE176" s="3" t="s">
        <v>896</v>
      </c>
    </row>
    <row r="177" spans="1:32" x14ac:dyDescent="0.35">
      <c r="A177" s="3" t="str">
        <f t="shared" si="2"/>
        <v>Sto_WW_HS</v>
      </c>
      <c r="B177" s="3">
        <v>8</v>
      </c>
      <c r="C177" s="3">
        <v>4</v>
      </c>
      <c r="D177" s="3" t="s">
        <v>117</v>
      </c>
      <c r="E177" s="3">
        <v>1031</v>
      </c>
      <c r="F177" s="3" t="s">
        <v>137</v>
      </c>
      <c r="G177" s="3" t="s">
        <v>121</v>
      </c>
      <c r="H177" s="3" t="s">
        <v>20</v>
      </c>
      <c r="I177" s="3" t="s">
        <v>21</v>
      </c>
      <c r="J177" s="3" t="s">
        <v>28</v>
      </c>
      <c r="K177" s="3" t="s">
        <v>27</v>
      </c>
      <c r="L177" s="3">
        <v>2</v>
      </c>
      <c r="M177" s="3">
        <v>1</v>
      </c>
      <c r="N177" s="4">
        <v>44481</v>
      </c>
      <c r="O177" s="4"/>
      <c r="P177" s="5" t="b">
        <v>1</v>
      </c>
      <c r="Q177" s="7">
        <v>1032</v>
      </c>
      <c r="R177" s="7"/>
      <c r="S177" s="7"/>
      <c r="T177" s="7"/>
      <c r="U177" s="3"/>
      <c r="Z177" t="s">
        <v>302</v>
      </c>
      <c r="AA177" s="3"/>
      <c r="AB177" s="3"/>
      <c r="AC177" s="3"/>
      <c r="AD177" s="3"/>
      <c r="AE177" s="3"/>
    </row>
    <row r="178" spans="1:32" x14ac:dyDescent="0.35">
      <c r="A178" s="3" t="str">
        <f t="shared" si="2"/>
        <v>Wen_WS_HS</v>
      </c>
      <c r="B178" s="3">
        <v>9</v>
      </c>
      <c r="C178" s="3">
        <v>4</v>
      </c>
      <c r="D178" s="3" t="s">
        <v>117</v>
      </c>
      <c r="E178" s="3">
        <v>1033</v>
      </c>
      <c r="F178" s="3" t="s">
        <v>138</v>
      </c>
      <c r="G178" s="3" t="s">
        <v>121</v>
      </c>
      <c r="H178" s="3" t="s">
        <v>39</v>
      </c>
      <c r="I178" s="3" t="s">
        <v>25</v>
      </c>
      <c r="J178" s="3" t="s">
        <v>22</v>
      </c>
      <c r="K178" s="3" t="s">
        <v>23</v>
      </c>
      <c r="L178" s="3">
        <v>2</v>
      </c>
      <c r="M178" s="3">
        <v>2</v>
      </c>
      <c r="N178" s="4">
        <v>44481</v>
      </c>
      <c r="O178" s="54">
        <v>0.50694444444444442</v>
      </c>
      <c r="P178" s="5" t="b">
        <v>0</v>
      </c>
      <c r="Q178" s="7">
        <f>E178</f>
        <v>1033</v>
      </c>
      <c r="R178" s="7"/>
      <c r="S178" s="7"/>
      <c r="T178" s="7"/>
      <c r="U178" s="3"/>
      <c r="AA178" s="3"/>
      <c r="AB178" s="3"/>
      <c r="AC178" t="s">
        <v>894</v>
      </c>
      <c r="AD178" t="s">
        <v>894</v>
      </c>
      <c r="AE178" t="s">
        <v>894</v>
      </c>
      <c r="AF178" t="s">
        <v>895</v>
      </c>
    </row>
    <row r="179" spans="1:32" x14ac:dyDescent="0.35">
      <c r="A179" s="3" t="str">
        <f t="shared" si="2"/>
        <v>Wen_WS_HS</v>
      </c>
      <c r="B179" s="3">
        <v>9</v>
      </c>
      <c r="C179" s="3">
        <v>4</v>
      </c>
      <c r="D179" s="3" t="s">
        <v>117</v>
      </c>
      <c r="E179" s="3">
        <v>1033</v>
      </c>
      <c r="F179" s="3" t="s">
        <v>138</v>
      </c>
      <c r="G179" s="3" t="s">
        <v>121</v>
      </c>
      <c r="H179" s="3" t="s">
        <v>39</v>
      </c>
      <c r="I179" s="3" t="s">
        <v>25</v>
      </c>
      <c r="J179" s="3" t="s">
        <v>35</v>
      </c>
      <c r="K179" s="3" t="s">
        <v>23</v>
      </c>
      <c r="L179" s="3">
        <v>2</v>
      </c>
      <c r="M179" s="3">
        <v>2</v>
      </c>
      <c r="N179" s="4">
        <v>44481</v>
      </c>
      <c r="O179" s="54">
        <v>0.50694444444444442</v>
      </c>
      <c r="P179" s="5" t="b">
        <v>1</v>
      </c>
      <c r="Q179" s="7">
        <v>1034</v>
      </c>
      <c r="R179" s="7">
        <v>30</v>
      </c>
      <c r="S179" s="7"/>
      <c r="T179" s="7"/>
      <c r="U179" s="3"/>
      <c r="Z179" t="s">
        <v>302</v>
      </c>
      <c r="AA179" s="3"/>
      <c r="AB179" s="3" t="s">
        <v>325</v>
      </c>
      <c r="AC179" s="3"/>
      <c r="AD179" s="3"/>
      <c r="AE179" s="3"/>
    </row>
    <row r="180" spans="1:32" x14ac:dyDescent="0.35">
      <c r="A180" s="3" t="str">
        <f t="shared" si="2"/>
        <v>Wen_WW_HS</v>
      </c>
      <c r="B180" s="3">
        <v>10</v>
      </c>
      <c r="C180" s="3">
        <v>4</v>
      </c>
      <c r="D180" s="3" t="s">
        <v>117</v>
      </c>
      <c r="E180" s="3">
        <v>1035</v>
      </c>
      <c r="F180" s="3" t="s">
        <v>139</v>
      </c>
      <c r="G180" s="3" t="s">
        <v>121</v>
      </c>
      <c r="H180" s="3" t="s">
        <v>20</v>
      </c>
      <c r="I180" s="3" t="s">
        <v>25</v>
      </c>
      <c r="J180" s="3" t="s">
        <v>26</v>
      </c>
      <c r="K180" s="3" t="s">
        <v>27</v>
      </c>
      <c r="L180" s="3">
        <v>2</v>
      </c>
      <c r="M180" s="3">
        <v>1</v>
      </c>
      <c r="N180" s="4">
        <v>44484</v>
      </c>
      <c r="O180" s="4"/>
      <c r="P180" s="5" t="b">
        <v>0</v>
      </c>
      <c r="Q180" s="7">
        <f>E180</f>
        <v>1035</v>
      </c>
      <c r="R180" s="7"/>
      <c r="S180" s="7"/>
      <c r="T180" s="7" t="s">
        <v>302</v>
      </c>
      <c r="U180" s="3" t="s">
        <v>140</v>
      </c>
      <c r="W180" t="s">
        <v>302</v>
      </c>
      <c r="AA180" s="3" t="s">
        <v>282</v>
      </c>
      <c r="AB180" s="3" t="s">
        <v>326</v>
      </c>
      <c r="AC180" s="3" t="s">
        <v>896</v>
      </c>
      <c r="AD180" s="3" t="s">
        <v>896</v>
      </c>
      <c r="AE180" s="3" t="s">
        <v>896</v>
      </c>
    </row>
    <row r="181" spans="1:32" x14ac:dyDescent="0.35">
      <c r="A181" s="3" t="str">
        <f t="shared" si="2"/>
        <v>Wen_WW_HS</v>
      </c>
      <c r="B181" s="3">
        <v>10</v>
      </c>
      <c r="C181" s="3">
        <v>4</v>
      </c>
      <c r="D181" s="3" t="s">
        <v>117</v>
      </c>
      <c r="E181" s="3">
        <v>1035</v>
      </c>
      <c r="F181" s="3" t="s">
        <v>139</v>
      </c>
      <c r="G181" s="3" t="s">
        <v>121</v>
      </c>
      <c r="H181" s="3" t="s">
        <v>20</v>
      </c>
      <c r="I181" s="3" t="s">
        <v>25</v>
      </c>
      <c r="J181" s="3" t="s">
        <v>22</v>
      </c>
      <c r="K181" s="3" t="s">
        <v>27</v>
      </c>
      <c r="L181" s="3">
        <v>2</v>
      </c>
      <c r="M181" s="3">
        <v>1</v>
      </c>
      <c r="N181" s="4">
        <v>44484</v>
      </c>
      <c r="O181" s="4"/>
      <c r="P181" s="5" t="b">
        <v>1</v>
      </c>
      <c r="Q181" s="7">
        <v>1036</v>
      </c>
      <c r="R181" s="7"/>
      <c r="S181" s="7"/>
      <c r="T181" s="7"/>
      <c r="U181" s="3" t="s">
        <v>141</v>
      </c>
      <c r="AA181" s="3" t="s">
        <v>231</v>
      </c>
      <c r="AB181" s="3"/>
      <c r="AC181" s="3"/>
      <c r="AD181" s="3"/>
      <c r="AE181" s="3"/>
    </row>
    <row r="182" spans="1:32" x14ac:dyDescent="0.35">
      <c r="A182" s="3" t="str">
        <f t="shared" si="2"/>
        <v>Sto_WS_HS</v>
      </c>
      <c r="B182" s="3">
        <v>11</v>
      </c>
      <c r="C182" s="3">
        <v>4</v>
      </c>
      <c r="D182" s="3" t="s">
        <v>117</v>
      </c>
      <c r="E182" s="3">
        <v>1037</v>
      </c>
      <c r="F182" s="3" t="s">
        <v>142</v>
      </c>
      <c r="G182" s="3" t="s">
        <v>121</v>
      </c>
      <c r="H182" s="3" t="s">
        <v>39</v>
      </c>
      <c r="I182" s="3" t="s">
        <v>21</v>
      </c>
      <c r="J182" s="3" t="s">
        <v>22</v>
      </c>
      <c r="K182" s="3" t="s">
        <v>23</v>
      </c>
      <c r="L182" s="3">
        <v>2</v>
      </c>
      <c r="M182" s="3">
        <v>2</v>
      </c>
      <c r="N182" s="4">
        <v>44481</v>
      </c>
      <c r="O182" s="54">
        <v>0.50694444444444442</v>
      </c>
      <c r="P182" s="5" t="b">
        <v>0</v>
      </c>
      <c r="Q182" s="7">
        <f>E182</f>
        <v>1037</v>
      </c>
      <c r="R182" s="7"/>
      <c r="S182" s="7"/>
      <c r="T182" s="7"/>
      <c r="U182" s="3"/>
      <c r="AA182" s="3"/>
      <c r="AB182" s="3"/>
      <c r="AC182" t="s">
        <v>894</v>
      </c>
      <c r="AD182" t="s">
        <v>894</v>
      </c>
      <c r="AE182" t="s">
        <v>894</v>
      </c>
      <c r="AF182" t="s">
        <v>895</v>
      </c>
    </row>
    <row r="183" spans="1:32" x14ac:dyDescent="0.35">
      <c r="A183" s="3" t="str">
        <f t="shared" si="2"/>
        <v>Sto_WS_HS</v>
      </c>
      <c r="B183" s="3">
        <v>11</v>
      </c>
      <c r="C183" s="3">
        <v>4</v>
      </c>
      <c r="D183" s="3" t="s">
        <v>117</v>
      </c>
      <c r="E183" s="3">
        <v>1037</v>
      </c>
      <c r="F183" s="3" t="s">
        <v>142</v>
      </c>
      <c r="G183" s="3" t="s">
        <v>121</v>
      </c>
      <c r="H183" s="3" t="s">
        <v>39</v>
      </c>
      <c r="I183" s="3" t="s">
        <v>21</v>
      </c>
      <c r="J183" s="3"/>
      <c r="K183" s="3" t="s">
        <v>23</v>
      </c>
      <c r="L183" s="3"/>
      <c r="M183" s="3">
        <v>2</v>
      </c>
      <c r="N183" s="4"/>
      <c r="O183" s="54">
        <v>0.50694444444444442</v>
      </c>
      <c r="P183" s="5" t="b">
        <v>1</v>
      </c>
      <c r="Q183" s="7">
        <v>1038</v>
      </c>
      <c r="R183" s="7"/>
      <c r="S183" s="7"/>
      <c r="T183" s="7"/>
      <c r="U183" s="3"/>
      <c r="AA183" s="3" t="s">
        <v>223</v>
      </c>
      <c r="AB183" s="3"/>
      <c r="AC183" s="3"/>
      <c r="AD183" s="3"/>
      <c r="AE183" s="3"/>
    </row>
    <row r="184" spans="1:32" x14ac:dyDescent="0.35">
      <c r="A184" s="3" t="str">
        <f t="shared" si="2"/>
        <v>Sto_WW_HS</v>
      </c>
      <c r="B184" s="3">
        <v>12</v>
      </c>
      <c r="C184" s="3">
        <v>4</v>
      </c>
      <c r="D184" s="3" t="s">
        <v>117</v>
      </c>
      <c r="E184" s="3">
        <v>1039</v>
      </c>
      <c r="F184" s="3" t="s">
        <v>143</v>
      </c>
      <c r="G184" s="3" t="s">
        <v>121</v>
      </c>
      <c r="H184" s="3" t="s">
        <v>20</v>
      </c>
      <c r="I184" s="3" t="s">
        <v>21</v>
      </c>
      <c r="J184" s="3" t="s">
        <v>22</v>
      </c>
      <c r="K184" s="3" t="s">
        <v>23</v>
      </c>
      <c r="L184" s="3">
        <v>2</v>
      </c>
      <c r="M184" s="3">
        <v>3</v>
      </c>
      <c r="N184" s="4">
        <v>44481</v>
      </c>
      <c r="O184" s="54">
        <v>0.50694444444444442</v>
      </c>
      <c r="P184" s="5" t="b">
        <v>0</v>
      </c>
      <c r="Q184" s="7">
        <f>E184</f>
        <v>1039</v>
      </c>
      <c r="R184" s="7"/>
      <c r="S184" s="7"/>
      <c r="T184" s="7"/>
      <c r="U184" s="3"/>
      <c r="X184" t="s">
        <v>338</v>
      </c>
      <c r="AA184" s="3"/>
      <c r="AB184" s="3"/>
      <c r="AC184" t="s">
        <v>894</v>
      </c>
      <c r="AD184" t="s">
        <v>894</v>
      </c>
      <c r="AE184" t="s">
        <v>894</v>
      </c>
      <c r="AF184" t="s">
        <v>895</v>
      </c>
    </row>
    <row r="185" spans="1:32" x14ac:dyDescent="0.35">
      <c r="A185" s="3" t="str">
        <f t="shared" si="2"/>
        <v>Sto_WW_HS</v>
      </c>
      <c r="B185" s="3">
        <v>12</v>
      </c>
      <c r="C185" s="3">
        <v>4</v>
      </c>
      <c r="D185" s="3" t="s">
        <v>117</v>
      </c>
      <c r="E185" s="3">
        <v>1039</v>
      </c>
      <c r="F185" s="3" t="s">
        <v>143</v>
      </c>
      <c r="G185" s="3" t="s">
        <v>121</v>
      </c>
      <c r="H185" s="3" t="s">
        <v>20</v>
      </c>
      <c r="I185" s="3" t="s">
        <v>21</v>
      </c>
      <c r="J185" s="3" t="s">
        <v>35</v>
      </c>
      <c r="K185" s="3" t="s">
        <v>23</v>
      </c>
      <c r="L185" s="3">
        <v>2</v>
      </c>
      <c r="M185" s="3">
        <v>3</v>
      </c>
      <c r="N185" s="4">
        <v>44481</v>
      </c>
      <c r="O185" s="54">
        <v>0.50694444444444442</v>
      </c>
      <c r="P185" s="5" t="b">
        <v>1</v>
      </c>
      <c r="Q185" s="7">
        <v>1040</v>
      </c>
      <c r="R185" s="7">
        <v>24</v>
      </c>
      <c r="S185" s="7"/>
      <c r="T185" s="7"/>
      <c r="U185" s="3"/>
      <c r="Z185" t="s">
        <v>302</v>
      </c>
      <c r="AA185" s="3"/>
      <c r="AB185" s="3" t="s">
        <v>325</v>
      </c>
      <c r="AC185" s="3"/>
      <c r="AD185" s="3"/>
      <c r="AE185" s="3"/>
    </row>
    <row r="186" spans="1:32" x14ac:dyDescent="0.35">
      <c r="A186" s="3" t="str">
        <f t="shared" si="2"/>
        <v>Sto_WS_HS</v>
      </c>
      <c r="B186" s="3">
        <v>13</v>
      </c>
      <c r="C186" s="3">
        <v>4</v>
      </c>
      <c r="D186" s="3" t="s">
        <v>117</v>
      </c>
      <c r="E186" s="3">
        <v>1041</v>
      </c>
      <c r="F186" s="3" t="s">
        <v>144</v>
      </c>
      <c r="G186" s="3" t="s">
        <v>121</v>
      </c>
      <c r="H186" s="3" t="s">
        <v>39</v>
      </c>
      <c r="I186" s="3" t="s">
        <v>21</v>
      </c>
      <c r="J186" s="3"/>
      <c r="K186" s="3"/>
      <c r="L186" s="3"/>
      <c r="M186" s="3">
        <v>3</v>
      </c>
      <c r="N186" s="4"/>
      <c r="O186" s="4"/>
      <c r="P186" s="5" t="b">
        <v>0</v>
      </c>
      <c r="Q186" s="7">
        <f>E186</f>
        <v>1041</v>
      </c>
      <c r="R186" s="7"/>
      <c r="S186" s="7"/>
      <c r="T186" s="7"/>
      <c r="U186" s="3" t="s">
        <v>145</v>
      </c>
      <c r="V186" t="s">
        <v>302</v>
      </c>
      <c r="AA186" s="3" t="s">
        <v>208</v>
      </c>
      <c r="AB186" s="3"/>
      <c r="AC186" s="3"/>
      <c r="AD186" s="3"/>
      <c r="AE186" s="3"/>
      <c r="AF186" t="s">
        <v>895</v>
      </c>
    </row>
    <row r="187" spans="1:32" x14ac:dyDescent="0.35">
      <c r="A187" s="3" t="str">
        <f t="shared" si="2"/>
        <v>Sto_WS_HS</v>
      </c>
      <c r="B187" s="3">
        <v>13</v>
      </c>
      <c r="C187" s="3">
        <v>4</v>
      </c>
      <c r="D187" s="3" t="s">
        <v>117</v>
      </c>
      <c r="E187" s="3">
        <v>1041</v>
      </c>
      <c r="F187" s="3" t="s">
        <v>144</v>
      </c>
      <c r="G187" s="3" t="s">
        <v>121</v>
      </c>
      <c r="H187" s="3" t="s">
        <v>39</v>
      </c>
      <c r="I187" s="3" t="s">
        <v>21</v>
      </c>
      <c r="J187" s="3" t="s">
        <v>35</v>
      </c>
      <c r="K187" s="3" t="s">
        <v>23</v>
      </c>
      <c r="L187" s="3">
        <v>2</v>
      </c>
      <c r="M187" s="3">
        <v>3</v>
      </c>
      <c r="N187" s="4">
        <v>44483</v>
      </c>
      <c r="O187" s="54">
        <v>0.5</v>
      </c>
      <c r="P187" s="5" t="b">
        <v>1</v>
      </c>
      <c r="Q187" s="7">
        <v>1042</v>
      </c>
      <c r="R187" s="7"/>
      <c r="S187" s="7"/>
      <c r="T187" s="7"/>
      <c r="U187" s="3" t="s">
        <v>146</v>
      </c>
      <c r="V187" t="s">
        <v>302</v>
      </c>
      <c r="AA187" s="3"/>
      <c r="AB187" s="3"/>
      <c r="AC187" s="3"/>
      <c r="AD187" s="3"/>
      <c r="AE187" s="3"/>
    </row>
    <row r="188" spans="1:32" x14ac:dyDescent="0.35">
      <c r="A188" s="3" t="str">
        <f t="shared" si="2"/>
        <v>Wen_WW_HS</v>
      </c>
      <c r="B188" s="3">
        <v>14</v>
      </c>
      <c r="C188" s="3">
        <v>4</v>
      </c>
      <c r="D188" s="3" t="s">
        <v>117</v>
      </c>
      <c r="E188" s="3">
        <v>1043</v>
      </c>
      <c r="F188" s="3" t="s">
        <v>147</v>
      </c>
      <c r="G188" s="3" t="s">
        <v>121</v>
      </c>
      <c r="H188" s="3" t="s">
        <v>20</v>
      </c>
      <c r="I188" s="3" t="s">
        <v>25</v>
      </c>
      <c r="J188" s="3" t="s">
        <v>22</v>
      </c>
      <c r="K188" s="3" t="s">
        <v>23</v>
      </c>
      <c r="L188" s="3">
        <v>2</v>
      </c>
      <c r="M188" s="3">
        <v>3</v>
      </c>
      <c r="N188" s="4">
        <v>44481</v>
      </c>
      <c r="O188" s="54">
        <v>0.50694444444444442</v>
      </c>
      <c r="P188" s="5" t="b">
        <v>0</v>
      </c>
      <c r="Q188" s="7">
        <f>E188</f>
        <v>1043</v>
      </c>
      <c r="R188" s="7"/>
      <c r="S188" s="7"/>
      <c r="T188" s="7"/>
      <c r="U188" s="3"/>
      <c r="AA188" s="3"/>
      <c r="AB188" s="3"/>
      <c r="AC188" t="s">
        <v>894</v>
      </c>
      <c r="AD188" t="s">
        <v>894</v>
      </c>
      <c r="AE188" t="s">
        <v>894</v>
      </c>
      <c r="AF188" t="s">
        <v>895</v>
      </c>
    </row>
    <row r="189" spans="1:32" x14ac:dyDescent="0.35">
      <c r="A189" s="3" t="str">
        <f t="shared" si="2"/>
        <v>Wen_WW_HS</v>
      </c>
      <c r="B189" s="3">
        <v>14</v>
      </c>
      <c r="C189" s="3">
        <v>4</v>
      </c>
      <c r="D189" s="3" t="s">
        <v>117</v>
      </c>
      <c r="E189" s="3">
        <v>1043</v>
      </c>
      <c r="F189" s="3" t="s">
        <v>147</v>
      </c>
      <c r="G189" s="3" t="s">
        <v>121</v>
      </c>
      <c r="H189" s="3" t="s">
        <v>20</v>
      </c>
      <c r="I189" s="3" t="s">
        <v>25</v>
      </c>
      <c r="J189" s="3" t="s">
        <v>35</v>
      </c>
      <c r="K189" s="3" t="s">
        <v>23</v>
      </c>
      <c r="L189" s="3">
        <v>2</v>
      </c>
      <c r="M189" s="3">
        <v>3</v>
      </c>
      <c r="N189" s="4">
        <v>44481</v>
      </c>
      <c r="O189" s="54">
        <v>0.50694444444444442</v>
      </c>
      <c r="P189" s="5" t="b">
        <v>1</v>
      </c>
      <c r="Q189" s="7">
        <v>1044</v>
      </c>
      <c r="R189" s="7">
        <v>19</v>
      </c>
      <c r="S189" s="7"/>
      <c r="T189" s="7"/>
      <c r="U189" s="3"/>
      <c r="AA189" s="3"/>
      <c r="AB189" s="3" t="s">
        <v>325</v>
      </c>
      <c r="AC189" s="3"/>
      <c r="AD189" s="3"/>
      <c r="AE189" s="3"/>
    </row>
    <row r="190" spans="1:32" x14ac:dyDescent="0.35">
      <c r="A190" s="3" t="str">
        <f t="shared" si="2"/>
        <v>Sto_WS_HS</v>
      </c>
      <c r="B190" s="3">
        <v>15</v>
      </c>
      <c r="C190" s="3">
        <v>4</v>
      </c>
      <c r="D190" s="3" t="s">
        <v>117</v>
      </c>
      <c r="E190" s="3">
        <v>1045</v>
      </c>
      <c r="F190" s="3" t="s">
        <v>148</v>
      </c>
      <c r="G190" s="3" t="s">
        <v>121</v>
      </c>
      <c r="H190" s="3" t="s">
        <v>39</v>
      </c>
      <c r="I190" s="3" t="s">
        <v>21</v>
      </c>
      <c r="J190" s="3" t="s">
        <v>26</v>
      </c>
      <c r="K190" s="3" t="s">
        <v>27</v>
      </c>
      <c r="L190" s="3">
        <v>2</v>
      </c>
      <c r="M190" s="3">
        <v>1</v>
      </c>
      <c r="N190" s="4">
        <v>44481</v>
      </c>
      <c r="O190" s="4"/>
      <c r="P190" s="5" t="b">
        <v>0</v>
      </c>
      <c r="Q190" s="7">
        <f>E190</f>
        <v>1045</v>
      </c>
      <c r="R190" s="7"/>
      <c r="S190" s="7"/>
      <c r="T190" s="7" t="s">
        <v>302</v>
      </c>
      <c r="U190" s="3"/>
      <c r="AA190" s="3"/>
      <c r="AB190" s="3" t="s">
        <v>326</v>
      </c>
      <c r="AC190" s="3" t="s">
        <v>896</v>
      </c>
      <c r="AD190" s="3" t="s">
        <v>896</v>
      </c>
      <c r="AE190" s="3" t="s">
        <v>896</v>
      </c>
    </row>
    <row r="191" spans="1:32" x14ac:dyDescent="0.35">
      <c r="A191" s="3" t="str">
        <f t="shared" si="2"/>
        <v>Sto_WS_HS</v>
      </c>
      <c r="B191" s="3">
        <v>15</v>
      </c>
      <c r="C191" s="3">
        <v>4</v>
      </c>
      <c r="D191" s="3" t="s">
        <v>117</v>
      </c>
      <c r="E191" s="3">
        <v>1045</v>
      </c>
      <c r="F191" s="3" t="s">
        <v>148</v>
      </c>
      <c r="G191" s="3" t="s">
        <v>121</v>
      </c>
      <c r="H191" s="3" t="s">
        <v>39</v>
      </c>
      <c r="I191" s="3" t="s">
        <v>21</v>
      </c>
      <c r="J191" s="3" t="s">
        <v>28</v>
      </c>
      <c r="K191" s="3" t="s">
        <v>27</v>
      </c>
      <c r="L191" s="3">
        <v>2</v>
      </c>
      <c r="M191" s="3">
        <v>1</v>
      </c>
      <c r="N191" s="4">
        <v>44481</v>
      </c>
      <c r="O191" s="4"/>
      <c r="P191" s="5" t="b">
        <v>1</v>
      </c>
      <c r="Q191" s="7">
        <v>1046</v>
      </c>
      <c r="R191" s="7"/>
      <c r="S191" s="7"/>
      <c r="T191" s="7"/>
      <c r="U191" s="3"/>
      <c r="Z191" t="s">
        <v>302</v>
      </c>
      <c r="AA191" s="110" t="s">
        <v>351</v>
      </c>
      <c r="AB191" s="3"/>
      <c r="AC191" s="3"/>
      <c r="AD191" s="3"/>
      <c r="AE191" s="3"/>
    </row>
    <row r="192" spans="1:32" x14ac:dyDescent="0.35">
      <c r="A192" s="3" t="str">
        <f t="shared" si="2"/>
        <v>Wen_WS_HS</v>
      </c>
      <c r="B192" s="3">
        <v>16</v>
      </c>
      <c r="C192" s="3">
        <v>4</v>
      </c>
      <c r="D192" s="3" t="s">
        <v>117</v>
      </c>
      <c r="E192" s="3">
        <v>1047</v>
      </c>
      <c r="F192" s="3" t="s">
        <v>149</v>
      </c>
      <c r="G192" s="3" t="s">
        <v>121</v>
      </c>
      <c r="H192" s="3" t="s">
        <v>39</v>
      </c>
      <c r="I192" s="3" t="s">
        <v>25</v>
      </c>
      <c r="J192" s="3" t="s">
        <v>22</v>
      </c>
      <c r="K192" s="3" t="s">
        <v>23</v>
      </c>
      <c r="L192" s="3">
        <v>2</v>
      </c>
      <c r="M192" s="3">
        <v>3</v>
      </c>
      <c r="N192" s="4">
        <v>44481</v>
      </c>
      <c r="O192" s="54">
        <v>0.50694444444444442</v>
      </c>
      <c r="P192" s="5" t="b">
        <v>0</v>
      </c>
      <c r="Q192" s="7">
        <f>E192</f>
        <v>1047</v>
      </c>
      <c r="R192" s="7"/>
      <c r="S192" s="7"/>
      <c r="T192" s="7"/>
      <c r="U192" s="3"/>
      <c r="AA192" s="3"/>
      <c r="AB192" s="3"/>
      <c r="AC192" t="s">
        <v>894</v>
      </c>
      <c r="AD192" t="s">
        <v>894</v>
      </c>
      <c r="AE192" t="s">
        <v>894</v>
      </c>
      <c r="AF192" t="s">
        <v>895</v>
      </c>
    </row>
    <row r="193" spans="1:32" x14ac:dyDescent="0.35">
      <c r="A193" s="3" t="str">
        <f t="shared" si="2"/>
        <v>Wen_WS_HS</v>
      </c>
      <c r="B193" s="3">
        <v>16</v>
      </c>
      <c r="C193" s="3">
        <v>4</v>
      </c>
      <c r="D193" s="3" t="s">
        <v>117</v>
      </c>
      <c r="E193" s="3">
        <v>1047</v>
      </c>
      <c r="F193" s="3" t="s">
        <v>149</v>
      </c>
      <c r="G193" s="3" t="s">
        <v>121</v>
      </c>
      <c r="H193" s="3" t="s">
        <v>39</v>
      </c>
      <c r="I193" s="3" t="s">
        <v>25</v>
      </c>
      <c r="J193" s="3" t="s">
        <v>35</v>
      </c>
      <c r="K193" s="3" t="s">
        <v>23</v>
      </c>
      <c r="L193" s="3">
        <v>2</v>
      </c>
      <c r="M193" s="3">
        <v>3</v>
      </c>
      <c r="N193" s="4">
        <v>44481</v>
      </c>
      <c r="O193" s="54">
        <v>0.50694444444444442</v>
      </c>
      <c r="P193" s="5" t="b">
        <v>1</v>
      </c>
      <c r="Q193" s="7">
        <v>1048</v>
      </c>
      <c r="R193" s="7">
        <v>31</v>
      </c>
      <c r="S193" s="7"/>
      <c r="T193" s="7"/>
      <c r="U193" s="3"/>
      <c r="Z193" t="s">
        <v>302</v>
      </c>
      <c r="AA193" s="3"/>
      <c r="AB193" s="3" t="s">
        <v>325</v>
      </c>
      <c r="AC193" s="3"/>
      <c r="AD193" s="3"/>
      <c r="AE193" s="3"/>
    </row>
    <row r="194" spans="1:32" x14ac:dyDescent="0.35">
      <c r="A194" s="3" t="str">
        <f t="shared" si="2"/>
        <v>Sto_WS_HS</v>
      </c>
      <c r="B194" s="3">
        <v>17</v>
      </c>
      <c r="C194" s="3">
        <v>4</v>
      </c>
      <c r="D194" s="3" t="s">
        <v>117</v>
      </c>
      <c r="E194" s="3">
        <v>1049</v>
      </c>
      <c r="F194" s="3" t="s">
        <v>150</v>
      </c>
      <c r="G194" s="3" t="s">
        <v>121</v>
      </c>
      <c r="H194" s="3" t="s">
        <v>39</v>
      </c>
      <c r="I194" s="3" t="s">
        <v>21</v>
      </c>
      <c r="J194" s="3" t="s">
        <v>22</v>
      </c>
      <c r="K194" s="3" t="s">
        <v>23</v>
      </c>
      <c r="L194" s="3">
        <v>2</v>
      </c>
      <c r="M194" s="3"/>
      <c r="N194" s="4">
        <v>44482</v>
      </c>
      <c r="O194" s="54">
        <v>0.34375</v>
      </c>
      <c r="P194" s="5" t="b">
        <v>0</v>
      </c>
      <c r="Q194" s="7">
        <f>E194</f>
        <v>1049</v>
      </c>
      <c r="R194" s="7"/>
      <c r="S194" s="7"/>
      <c r="T194" s="7"/>
      <c r="U194" s="3"/>
      <c r="Y194" t="s">
        <v>302</v>
      </c>
      <c r="AA194" s="3" t="s">
        <v>207</v>
      </c>
      <c r="AB194" s="3"/>
      <c r="AC194" t="s">
        <v>894</v>
      </c>
      <c r="AD194" t="s">
        <v>894</v>
      </c>
      <c r="AE194" t="s">
        <v>894</v>
      </c>
      <c r="AF194" t="s">
        <v>895</v>
      </c>
    </row>
    <row r="195" spans="1:32" x14ac:dyDescent="0.35">
      <c r="A195" s="3" t="str">
        <f t="shared" ref="A195:A258" si="3">LEFT(I195,3)&amp;"_"&amp;H195&amp;"_"&amp;G195</f>
        <v>Sto_WS_HS</v>
      </c>
      <c r="B195" s="3">
        <v>17</v>
      </c>
      <c r="C195" s="3">
        <v>4</v>
      </c>
      <c r="D195" s="3" t="s">
        <v>117</v>
      </c>
      <c r="E195" s="3">
        <v>1049</v>
      </c>
      <c r="F195" s="3" t="s">
        <v>150</v>
      </c>
      <c r="G195" s="3" t="s">
        <v>121</v>
      </c>
      <c r="H195" s="3" t="s">
        <v>39</v>
      </c>
      <c r="I195" s="3" t="s">
        <v>21</v>
      </c>
      <c r="J195" s="3" t="s">
        <v>35</v>
      </c>
      <c r="K195" s="3" t="s">
        <v>23</v>
      </c>
      <c r="L195" s="3">
        <v>2</v>
      </c>
      <c r="M195" s="3"/>
      <c r="N195" s="4">
        <v>44482</v>
      </c>
      <c r="O195" s="54">
        <v>0.34375</v>
      </c>
      <c r="P195" s="5" t="b">
        <v>1</v>
      </c>
      <c r="Q195" s="7">
        <v>1050</v>
      </c>
      <c r="R195" s="7">
        <v>27</v>
      </c>
      <c r="S195" s="7"/>
      <c r="T195" s="7"/>
      <c r="U195" s="3"/>
      <c r="AA195" s="3" t="s">
        <v>234</v>
      </c>
      <c r="AB195" s="3" t="s">
        <v>325</v>
      </c>
      <c r="AC195" s="3"/>
      <c r="AD195" s="3"/>
      <c r="AE195" s="3"/>
    </row>
    <row r="196" spans="1:32" x14ac:dyDescent="0.35">
      <c r="A196" s="3" t="str">
        <f t="shared" si="3"/>
        <v>Wen_WS_HS</v>
      </c>
      <c r="B196" s="3">
        <v>18</v>
      </c>
      <c r="C196" s="3">
        <v>4</v>
      </c>
      <c r="D196" s="3" t="s">
        <v>117</v>
      </c>
      <c r="E196" s="3">
        <v>1051</v>
      </c>
      <c r="F196" s="3" t="s">
        <v>151</v>
      </c>
      <c r="G196" s="3" t="s">
        <v>121</v>
      </c>
      <c r="H196" s="3" t="s">
        <v>39</v>
      </c>
      <c r="I196" s="3" t="s">
        <v>25</v>
      </c>
      <c r="J196" s="3" t="s">
        <v>26</v>
      </c>
      <c r="K196" s="3" t="s">
        <v>23</v>
      </c>
      <c r="L196" s="3">
        <v>2</v>
      </c>
      <c r="M196" s="3"/>
      <c r="N196" s="4">
        <v>44484</v>
      </c>
      <c r="O196" s="4"/>
      <c r="P196" s="5" t="b">
        <v>0</v>
      </c>
      <c r="Q196" s="7">
        <f>E196</f>
        <v>1051</v>
      </c>
      <c r="R196" s="7"/>
      <c r="S196" s="7"/>
      <c r="T196" s="7" t="s">
        <v>302</v>
      </c>
      <c r="U196" s="3"/>
      <c r="AA196" s="3" t="s">
        <v>281</v>
      </c>
      <c r="AB196" s="3" t="s">
        <v>326</v>
      </c>
      <c r="AC196" s="3" t="s">
        <v>896</v>
      </c>
      <c r="AD196" s="3" t="s">
        <v>896</v>
      </c>
      <c r="AE196" s="3" t="s">
        <v>896</v>
      </c>
    </row>
    <row r="197" spans="1:32" x14ac:dyDescent="0.35">
      <c r="A197" s="3" t="str">
        <f t="shared" si="3"/>
        <v>Wen_WS_HS</v>
      </c>
      <c r="B197" s="3">
        <v>18</v>
      </c>
      <c r="C197" s="3">
        <v>4</v>
      </c>
      <c r="D197" s="3" t="s">
        <v>117</v>
      </c>
      <c r="E197" s="3">
        <v>1051</v>
      </c>
      <c r="F197" s="3" t="s">
        <v>151</v>
      </c>
      <c r="G197" s="3" t="s">
        <v>121</v>
      </c>
      <c r="H197" s="3" t="s">
        <v>39</v>
      </c>
      <c r="I197" s="3" t="s">
        <v>25</v>
      </c>
      <c r="J197" s="3"/>
      <c r="K197" s="3" t="s">
        <v>23</v>
      </c>
      <c r="L197" s="3">
        <v>2</v>
      </c>
      <c r="M197" s="3"/>
      <c r="N197" s="4"/>
      <c r="O197" s="4"/>
      <c r="P197" s="5" t="b">
        <v>1</v>
      </c>
      <c r="Q197" s="7">
        <v>1052</v>
      </c>
      <c r="R197" s="7"/>
      <c r="S197" s="7"/>
      <c r="T197" s="7"/>
      <c r="U197" s="3"/>
      <c r="AA197" s="3" t="s">
        <v>227</v>
      </c>
      <c r="AB197" s="3"/>
      <c r="AC197" s="3"/>
      <c r="AD197" s="3"/>
      <c r="AE197" s="3"/>
    </row>
    <row r="198" spans="1:32" x14ac:dyDescent="0.35">
      <c r="A198" s="3" t="str">
        <f t="shared" si="3"/>
        <v>Sto_WW_HS</v>
      </c>
      <c r="B198" s="3">
        <v>19</v>
      </c>
      <c r="C198" s="3">
        <v>4</v>
      </c>
      <c r="D198" s="3" t="s">
        <v>117</v>
      </c>
      <c r="E198" s="3">
        <v>1053</v>
      </c>
      <c r="F198" s="3" t="s">
        <v>152</v>
      </c>
      <c r="G198" s="3" t="s">
        <v>121</v>
      </c>
      <c r="H198" s="3" t="s">
        <v>20</v>
      </c>
      <c r="I198" s="3" t="s">
        <v>21</v>
      </c>
      <c r="J198" s="3" t="s">
        <v>26</v>
      </c>
      <c r="K198" s="3" t="s">
        <v>27</v>
      </c>
      <c r="L198" s="3">
        <v>2</v>
      </c>
      <c r="M198" s="3"/>
      <c r="N198" s="4">
        <v>44484</v>
      </c>
      <c r="O198" s="4"/>
      <c r="P198" s="5" t="b">
        <v>0</v>
      </c>
      <c r="Q198" s="7">
        <f>E198</f>
        <v>1053</v>
      </c>
      <c r="R198" s="7"/>
      <c r="S198" s="7"/>
      <c r="T198" s="7" t="s">
        <v>302</v>
      </c>
      <c r="U198" s="3"/>
      <c r="AA198" s="3" t="s">
        <v>281</v>
      </c>
      <c r="AB198" s="3" t="s">
        <v>326</v>
      </c>
      <c r="AC198" s="3" t="s">
        <v>896</v>
      </c>
      <c r="AD198" s="3" t="s">
        <v>896</v>
      </c>
      <c r="AE198" s="3" t="s">
        <v>896</v>
      </c>
    </row>
    <row r="199" spans="1:32" x14ac:dyDescent="0.35">
      <c r="A199" s="3" t="str">
        <f t="shared" si="3"/>
        <v>Sto_WW_HS</v>
      </c>
      <c r="B199" s="3">
        <v>19</v>
      </c>
      <c r="C199" s="3">
        <v>4</v>
      </c>
      <c r="D199" s="3" t="s">
        <v>117</v>
      </c>
      <c r="E199" s="3">
        <v>1053</v>
      </c>
      <c r="F199" s="3" t="s">
        <v>152</v>
      </c>
      <c r="G199" s="3" t="s">
        <v>121</v>
      </c>
      <c r="H199" s="3" t="s">
        <v>20</v>
      </c>
      <c r="I199" s="3" t="s">
        <v>21</v>
      </c>
      <c r="J199" s="3" t="s">
        <v>26</v>
      </c>
      <c r="K199" s="3" t="s">
        <v>27</v>
      </c>
      <c r="L199" s="3">
        <v>2</v>
      </c>
      <c r="M199" s="3"/>
      <c r="N199" s="4">
        <v>44484</v>
      </c>
      <c r="O199" s="4"/>
      <c r="P199" s="5" t="b">
        <v>1</v>
      </c>
      <c r="Q199" s="7">
        <v>1054</v>
      </c>
      <c r="R199" s="7"/>
      <c r="S199" s="7"/>
      <c r="T199" s="7" t="s">
        <v>302</v>
      </c>
      <c r="U199" s="3"/>
      <c r="AA199" s="3" t="s">
        <v>281</v>
      </c>
      <c r="AB199" s="3" t="s">
        <v>326</v>
      </c>
      <c r="AC199" s="3" t="s">
        <v>896</v>
      </c>
      <c r="AD199" s="3" t="s">
        <v>896</v>
      </c>
      <c r="AE199" s="3" t="s">
        <v>896</v>
      </c>
    </row>
    <row r="200" spans="1:32" x14ac:dyDescent="0.35">
      <c r="A200" s="3" t="str">
        <f t="shared" si="3"/>
        <v>Wen_WW_HS</v>
      </c>
      <c r="B200" s="3">
        <v>20</v>
      </c>
      <c r="C200" s="3">
        <v>4</v>
      </c>
      <c r="D200" s="3" t="s">
        <v>117</v>
      </c>
      <c r="E200" s="3">
        <v>1055</v>
      </c>
      <c r="F200" s="3" t="s">
        <v>153</v>
      </c>
      <c r="G200" s="3" t="s">
        <v>121</v>
      </c>
      <c r="H200" s="3" t="s">
        <v>20</v>
      </c>
      <c r="I200" s="3" t="s">
        <v>25</v>
      </c>
      <c r="J200" s="3" t="s">
        <v>22</v>
      </c>
      <c r="K200" s="3" t="s">
        <v>23</v>
      </c>
      <c r="L200" s="3">
        <v>2</v>
      </c>
      <c r="M200" s="3"/>
      <c r="N200" s="4">
        <v>44482</v>
      </c>
      <c r="O200" s="54">
        <v>0.34375</v>
      </c>
      <c r="P200" s="5" t="b">
        <v>0</v>
      </c>
      <c r="Q200" s="7">
        <f>E200</f>
        <v>1055</v>
      </c>
      <c r="R200" s="7"/>
      <c r="S200" s="7"/>
      <c r="T200" s="7"/>
      <c r="U200" s="3"/>
      <c r="AA200" s="3"/>
      <c r="AB200" s="3"/>
      <c r="AC200" t="s">
        <v>894</v>
      </c>
      <c r="AD200" t="s">
        <v>894</v>
      </c>
      <c r="AE200" t="s">
        <v>894</v>
      </c>
      <c r="AF200" t="s">
        <v>895</v>
      </c>
    </row>
    <row r="201" spans="1:32" x14ac:dyDescent="0.35">
      <c r="A201" s="3" t="str">
        <f t="shared" si="3"/>
        <v>Wen_WW_HS</v>
      </c>
      <c r="B201" s="3">
        <v>20</v>
      </c>
      <c r="C201" s="3">
        <v>4</v>
      </c>
      <c r="D201" s="3" t="s">
        <v>117</v>
      </c>
      <c r="E201" s="3">
        <v>1055</v>
      </c>
      <c r="F201" s="3" t="s">
        <v>153</v>
      </c>
      <c r="G201" s="3" t="s">
        <v>121</v>
      </c>
      <c r="H201" s="3" t="s">
        <v>20</v>
      </c>
      <c r="I201" s="3" t="s">
        <v>25</v>
      </c>
      <c r="J201" s="3" t="s">
        <v>35</v>
      </c>
      <c r="K201" s="3" t="s">
        <v>23</v>
      </c>
      <c r="L201" s="3">
        <v>2</v>
      </c>
      <c r="M201" s="3"/>
      <c r="N201" s="4">
        <v>44482</v>
      </c>
      <c r="O201" s="54">
        <v>0.34375</v>
      </c>
      <c r="P201" s="5" t="b">
        <v>1</v>
      </c>
      <c r="Q201" s="7">
        <v>1056</v>
      </c>
      <c r="R201" s="7">
        <v>19</v>
      </c>
      <c r="S201" s="7"/>
      <c r="T201" s="7"/>
      <c r="U201" s="3"/>
      <c r="Z201" t="s">
        <v>302</v>
      </c>
      <c r="AA201" s="3"/>
      <c r="AB201" s="3" t="s">
        <v>325</v>
      </c>
      <c r="AC201" s="3"/>
      <c r="AD201" s="3"/>
      <c r="AE201" s="3"/>
    </row>
    <row r="202" spans="1:32" x14ac:dyDescent="0.35">
      <c r="A202" s="3" t="str">
        <f t="shared" si="3"/>
        <v>Sto_WS_HS</v>
      </c>
      <c r="B202" s="3">
        <v>21</v>
      </c>
      <c r="C202" s="3">
        <v>4</v>
      </c>
      <c r="D202" s="3" t="s">
        <v>117</v>
      </c>
      <c r="E202" s="3">
        <v>1057</v>
      </c>
      <c r="F202" s="3" t="s">
        <v>154</v>
      </c>
      <c r="G202" s="3" t="s">
        <v>121</v>
      </c>
      <c r="H202" s="3" t="s">
        <v>39</v>
      </c>
      <c r="I202" s="3" t="s">
        <v>21</v>
      </c>
      <c r="J202" s="3" t="s">
        <v>26</v>
      </c>
      <c r="K202" s="3" t="s">
        <v>27</v>
      </c>
      <c r="L202" s="3">
        <v>2</v>
      </c>
      <c r="M202" s="3"/>
      <c r="N202" s="4">
        <v>44483</v>
      </c>
      <c r="O202" s="4"/>
      <c r="P202" s="5" t="b">
        <v>0</v>
      </c>
      <c r="Q202" s="7">
        <f>E202</f>
        <v>1057</v>
      </c>
      <c r="R202" s="7"/>
      <c r="S202" s="7"/>
      <c r="T202" s="7" t="s">
        <v>302</v>
      </c>
      <c r="U202" s="3"/>
      <c r="AA202" s="3"/>
      <c r="AB202" s="3" t="s">
        <v>326</v>
      </c>
      <c r="AC202" s="3" t="s">
        <v>896</v>
      </c>
      <c r="AD202" s="3" t="s">
        <v>896</v>
      </c>
      <c r="AE202" s="3" t="s">
        <v>896</v>
      </c>
    </row>
    <row r="203" spans="1:32" x14ac:dyDescent="0.35">
      <c r="A203" s="3" t="str">
        <f t="shared" si="3"/>
        <v>Sto_WS_HS</v>
      </c>
      <c r="B203" s="3">
        <v>21</v>
      </c>
      <c r="C203" s="3">
        <v>4</v>
      </c>
      <c r="D203" s="3" t="s">
        <v>117</v>
      </c>
      <c r="E203" s="3">
        <v>1057</v>
      </c>
      <c r="F203" s="3" t="s">
        <v>154</v>
      </c>
      <c r="G203" s="3" t="s">
        <v>121</v>
      </c>
      <c r="H203" s="3" t="s">
        <v>39</v>
      </c>
      <c r="I203" s="3" t="s">
        <v>21</v>
      </c>
      <c r="J203" s="3" t="s">
        <v>28</v>
      </c>
      <c r="K203" s="3" t="s">
        <v>27</v>
      </c>
      <c r="L203" s="3">
        <v>2</v>
      </c>
      <c r="M203" s="3"/>
      <c r="N203" s="4">
        <v>44483</v>
      </c>
      <c r="O203" s="4"/>
      <c r="P203" s="5" t="b">
        <v>1</v>
      </c>
      <c r="Q203" s="7">
        <v>1058</v>
      </c>
      <c r="R203" s="7"/>
      <c r="S203" s="7"/>
      <c r="T203" s="7"/>
      <c r="U203" s="3"/>
      <c r="Z203" t="s">
        <v>302</v>
      </c>
      <c r="AA203" s="3" t="s">
        <v>342</v>
      </c>
      <c r="AB203" s="3"/>
      <c r="AC203" s="3"/>
      <c r="AD203" s="3"/>
      <c r="AE203" s="3"/>
    </row>
    <row r="204" spans="1:32" x14ac:dyDescent="0.35">
      <c r="A204" s="3" t="str">
        <f t="shared" si="3"/>
        <v>Wen_WS_HS</v>
      </c>
      <c r="B204" s="3">
        <v>22</v>
      </c>
      <c r="C204" s="3">
        <v>4</v>
      </c>
      <c r="D204" s="3" t="s">
        <v>117</v>
      </c>
      <c r="E204" s="3">
        <v>1059</v>
      </c>
      <c r="F204" s="3" t="s">
        <v>155</v>
      </c>
      <c r="G204" s="3" t="s">
        <v>121</v>
      </c>
      <c r="H204" s="3" t="s">
        <v>39</v>
      </c>
      <c r="I204" s="3" t="s">
        <v>25</v>
      </c>
      <c r="J204" s="3" t="s">
        <v>26</v>
      </c>
      <c r="K204" s="3" t="s">
        <v>23</v>
      </c>
      <c r="L204" s="3">
        <v>2</v>
      </c>
      <c r="M204" s="3"/>
      <c r="N204" s="4">
        <v>44481</v>
      </c>
      <c r="O204" s="4"/>
      <c r="P204" s="5" t="b">
        <v>0</v>
      </c>
      <c r="Q204" s="7">
        <f>E204</f>
        <v>1059</v>
      </c>
      <c r="R204" s="7"/>
      <c r="S204" s="7"/>
      <c r="T204" s="7" t="s">
        <v>302</v>
      </c>
      <c r="U204" s="3"/>
      <c r="AA204" s="3"/>
      <c r="AB204" s="3" t="s">
        <v>326</v>
      </c>
      <c r="AC204" s="3" t="s">
        <v>896</v>
      </c>
      <c r="AD204" s="3" t="s">
        <v>896</v>
      </c>
      <c r="AE204" s="3" t="s">
        <v>896</v>
      </c>
    </row>
    <row r="205" spans="1:32" x14ac:dyDescent="0.35">
      <c r="A205" s="3" t="str">
        <f t="shared" si="3"/>
        <v>Wen_WS_HS</v>
      </c>
      <c r="B205" s="3">
        <v>22</v>
      </c>
      <c r="C205" s="3">
        <v>4</v>
      </c>
      <c r="D205" s="3" t="s">
        <v>117</v>
      </c>
      <c r="E205" s="3">
        <v>1059</v>
      </c>
      <c r="F205" s="3" t="s">
        <v>155</v>
      </c>
      <c r="G205" s="3" t="s">
        <v>121</v>
      </c>
      <c r="H205" s="3" t="s">
        <v>39</v>
      </c>
      <c r="I205" s="3" t="s">
        <v>25</v>
      </c>
      <c r="J205" s="3" t="s">
        <v>28</v>
      </c>
      <c r="K205" s="3" t="s">
        <v>23</v>
      </c>
      <c r="L205" s="3">
        <v>2</v>
      </c>
      <c r="M205" s="3"/>
      <c r="N205" s="4">
        <v>44481</v>
      </c>
      <c r="O205" s="4"/>
      <c r="P205" s="5" t="b">
        <v>1</v>
      </c>
      <c r="Q205" s="7">
        <v>1060</v>
      </c>
      <c r="R205" s="7"/>
      <c r="S205" s="7"/>
      <c r="T205" s="7"/>
      <c r="U205" s="3"/>
      <c r="Z205" t="s">
        <v>302</v>
      </c>
      <c r="AA205" s="3"/>
      <c r="AB205" s="3"/>
      <c r="AC205" s="3"/>
      <c r="AD205" s="3"/>
      <c r="AE205" s="3"/>
    </row>
    <row r="206" spans="1:32" x14ac:dyDescent="0.35">
      <c r="A206" s="3" t="str">
        <f t="shared" si="3"/>
        <v>Sto_WS_HS</v>
      </c>
      <c r="B206" s="3">
        <v>1</v>
      </c>
      <c r="C206" s="3">
        <v>3</v>
      </c>
      <c r="D206" s="3" t="s">
        <v>117</v>
      </c>
      <c r="E206" s="3">
        <v>1061</v>
      </c>
      <c r="F206" s="3" t="s">
        <v>156</v>
      </c>
      <c r="G206" s="3" t="s">
        <v>121</v>
      </c>
      <c r="H206" s="3" t="s">
        <v>39</v>
      </c>
      <c r="I206" s="3" t="s">
        <v>21</v>
      </c>
      <c r="J206" s="3" t="s">
        <v>22</v>
      </c>
      <c r="K206" s="3" t="s">
        <v>23</v>
      </c>
      <c r="L206" s="3">
        <v>2</v>
      </c>
      <c r="M206" s="3">
        <v>4</v>
      </c>
      <c r="N206" s="4">
        <v>44483</v>
      </c>
      <c r="O206" s="54">
        <v>0.39583333333333331</v>
      </c>
      <c r="P206" s="5" t="b">
        <v>0</v>
      </c>
      <c r="Q206" s="7">
        <f>E206</f>
        <v>1061</v>
      </c>
      <c r="R206" s="7"/>
      <c r="S206" s="7"/>
      <c r="T206" s="7"/>
      <c r="U206" s="3"/>
      <c r="Y206" t="s">
        <v>302</v>
      </c>
      <c r="AA206" s="3"/>
      <c r="AB206" s="3"/>
      <c r="AC206" t="s">
        <v>894</v>
      </c>
      <c r="AD206" t="s">
        <v>894</v>
      </c>
      <c r="AE206" t="s">
        <v>894</v>
      </c>
      <c r="AF206" t="s">
        <v>895</v>
      </c>
    </row>
    <row r="207" spans="1:32" x14ac:dyDescent="0.35">
      <c r="A207" s="3" t="str">
        <f t="shared" si="3"/>
        <v>Sto_WS_HS</v>
      </c>
      <c r="B207" s="3">
        <v>1</v>
      </c>
      <c r="C207" s="3">
        <v>3</v>
      </c>
      <c r="D207" s="3" t="s">
        <v>117</v>
      </c>
      <c r="E207" s="3">
        <v>1061</v>
      </c>
      <c r="F207" s="3" t="s">
        <v>156</v>
      </c>
      <c r="G207" s="3" t="s">
        <v>121</v>
      </c>
      <c r="H207" s="3" t="s">
        <v>39</v>
      </c>
      <c r="I207" s="3" t="s">
        <v>21</v>
      </c>
      <c r="J207" s="3" t="s">
        <v>35</v>
      </c>
      <c r="K207" s="3" t="s">
        <v>23</v>
      </c>
      <c r="L207" s="3">
        <v>2</v>
      </c>
      <c r="M207" s="3">
        <v>4</v>
      </c>
      <c r="N207" s="4">
        <v>44483</v>
      </c>
      <c r="O207" s="54">
        <v>0.39583333333333331</v>
      </c>
      <c r="P207" s="5" t="b">
        <v>1</v>
      </c>
      <c r="Q207" s="7">
        <v>1062</v>
      </c>
      <c r="R207" s="7">
        <v>28</v>
      </c>
      <c r="S207" s="7"/>
      <c r="T207" s="7"/>
      <c r="U207" s="3"/>
      <c r="AA207" s="3" t="s">
        <v>245</v>
      </c>
      <c r="AB207" s="3" t="s">
        <v>325</v>
      </c>
      <c r="AC207" s="3"/>
      <c r="AD207" s="3"/>
      <c r="AE207" s="3"/>
    </row>
    <row r="208" spans="1:32" x14ac:dyDescent="0.35">
      <c r="A208" s="3" t="str">
        <f t="shared" si="3"/>
        <v>Wen_WW_HS</v>
      </c>
      <c r="B208" s="3">
        <v>2</v>
      </c>
      <c r="C208" s="3">
        <v>3</v>
      </c>
      <c r="D208" s="3" t="s">
        <v>117</v>
      </c>
      <c r="E208" s="3">
        <v>1063</v>
      </c>
      <c r="F208" s="3" t="s">
        <v>157</v>
      </c>
      <c r="G208" s="3" t="s">
        <v>121</v>
      </c>
      <c r="H208" s="3" t="s">
        <v>20</v>
      </c>
      <c r="I208" s="3" t="s">
        <v>25</v>
      </c>
      <c r="J208" s="3" t="s">
        <v>26</v>
      </c>
      <c r="K208" s="3" t="s">
        <v>27</v>
      </c>
      <c r="L208" s="3">
        <v>2</v>
      </c>
      <c r="M208" s="3">
        <v>2</v>
      </c>
      <c r="N208" s="4">
        <v>44481</v>
      </c>
      <c r="O208" s="4"/>
      <c r="P208" s="5" t="b">
        <v>0</v>
      </c>
      <c r="Q208" s="7">
        <f>E208</f>
        <v>1063</v>
      </c>
      <c r="R208" s="7"/>
      <c r="S208" s="7"/>
      <c r="T208" s="7" t="s">
        <v>302</v>
      </c>
      <c r="U208" s="3"/>
      <c r="AA208" s="3"/>
      <c r="AB208" s="3" t="s">
        <v>326</v>
      </c>
      <c r="AC208" s="3" t="s">
        <v>896</v>
      </c>
      <c r="AD208" s="3" t="s">
        <v>896</v>
      </c>
      <c r="AE208" s="3" t="s">
        <v>896</v>
      </c>
    </row>
    <row r="209" spans="1:32" x14ac:dyDescent="0.35">
      <c r="A209" s="3" t="str">
        <f t="shared" si="3"/>
        <v>Wen_WW_HS</v>
      </c>
      <c r="B209" s="3">
        <v>2</v>
      </c>
      <c r="C209" s="3">
        <v>3</v>
      </c>
      <c r="D209" s="3" t="s">
        <v>117</v>
      </c>
      <c r="E209" s="3">
        <v>1063</v>
      </c>
      <c r="F209" s="3" t="s">
        <v>157</v>
      </c>
      <c r="G209" s="3" t="s">
        <v>121</v>
      </c>
      <c r="H209" s="3" t="s">
        <v>20</v>
      </c>
      <c r="I209" s="3" t="s">
        <v>25</v>
      </c>
      <c r="J209" s="3" t="s">
        <v>28</v>
      </c>
      <c r="K209" s="3" t="s">
        <v>27</v>
      </c>
      <c r="L209" s="3">
        <v>2</v>
      </c>
      <c r="M209" s="3">
        <v>2</v>
      </c>
      <c r="N209" s="4">
        <v>44481</v>
      </c>
      <c r="O209" s="4"/>
      <c r="P209" s="5" t="b">
        <v>1</v>
      </c>
      <c r="Q209" s="7">
        <v>1064</v>
      </c>
      <c r="R209" s="7"/>
      <c r="S209" s="7"/>
      <c r="T209" s="7"/>
      <c r="U209" s="3"/>
      <c r="Z209" t="s">
        <v>302</v>
      </c>
      <c r="AA209" s="3"/>
      <c r="AB209" s="3"/>
      <c r="AC209" s="3"/>
      <c r="AD209" s="3"/>
      <c r="AE209" s="3"/>
    </row>
    <row r="210" spans="1:32" x14ac:dyDescent="0.35">
      <c r="A210" s="3" t="str">
        <f t="shared" si="3"/>
        <v>Sto_WW_HS</v>
      </c>
      <c r="B210" s="3">
        <v>3</v>
      </c>
      <c r="C210" s="3">
        <v>3</v>
      </c>
      <c r="D210" s="3" t="s">
        <v>117</v>
      </c>
      <c r="E210" s="3">
        <v>1065</v>
      </c>
      <c r="F210" s="3" t="s">
        <v>158</v>
      </c>
      <c r="G210" s="3" t="s">
        <v>121</v>
      </c>
      <c r="H210" s="3" t="s">
        <v>20</v>
      </c>
      <c r="I210" s="3" t="s">
        <v>21</v>
      </c>
      <c r="J210" s="3" t="s">
        <v>22</v>
      </c>
      <c r="K210" s="3" t="s">
        <v>23</v>
      </c>
      <c r="L210" s="3">
        <v>2</v>
      </c>
      <c r="M210" s="3">
        <v>4</v>
      </c>
      <c r="N210" s="4">
        <v>44482</v>
      </c>
      <c r="O210" s="54">
        <v>0.34375</v>
      </c>
      <c r="P210" s="5" t="b">
        <v>0</v>
      </c>
      <c r="Q210" s="7">
        <f>E210</f>
        <v>1065</v>
      </c>
      <c r="R210" s="7"/>
      <c r="S210" s="7"/>
      <c r="T210" s="7"/>
      <c r="U210" s="3"/>
      <c r="Y210" t="s">
        <v>302</v>
      </c>
      <c r="AA210" s="3"/>
      <c r="AB210" s="3"/>
      <c r="AC210" t="s">
        <v>894</v>
      </c>
      <c r="AD210" t="s">
        <v>894</v>
      </c>
      <c r="AE210" t="s">
        <v>894</v>
      </c>
      <c r="AF210" t="s">
        <v>895</v>
      </c>
    </row>
    <row r="211" spans="1:32" x14ac:dyDescent="0.35">
      <c r="A211" s="3" t="str">
        <f t="shared" si="3"/>
        <v>Sto_WW_HS</v>
      </c>
      <c r="B211" s="3">
        <v>3</v>
      </c>
      <c r="C211" s="3">
        <v>3</v>
      </c>
      <c r="D211" s="3" t="s">
        <v>117</v>
      </c>
      <c r="E211" s="3">
        <v>1065</v>
      </c>
      <c r="F211" s="3" t="s">
        <v>158</v>
      </c>
      <c r="G211" s="3" t="s">
        <v>121</v>
      </c>
      <c r="H211" s="3" t="s">
        <v>20</v>
      </c>
      <c r="I211" s="3" t="s">
        <v>21</v>
      </c>
      <c r="J211" s="3" t="s">
        <v>35</v>
      </c>
      <c r="K211" s="3" t="s">
        <v>23</v>
      </c>
      <c r="L211" s="3">
        <v>2</v>
      </c>
      <c r="M211" s="3">
        <v>4</v>
      </c>
      <c r="N211" s="4">
        <v>44482</v>
      </c>
      <c r="O211" s="54">
        <v>0.34375</v>
      </c>
      <c r="P211" s="5" t="b">
        <v>1</v>
      </c>
      <c r="Q211" s="7">
        <v>1066</v>
      </c>
      <c r="R211" s="7">
        <v>24</v>
      </c>
      <c r="S211" s="7"/>
      <c r="T211" s="7"/>
      <c r="U211" s="3"/>
      <c r="AA211" s="3"/>
      <c r="AB211" s="3" t="s">
        <v>325</v>
      </c>
      <c r="AC211" s="3"/>
      <c r="AD211" s="3"/>
      <c r="AE211" s="3"/>
    </row>
    <row r="212" spans="1:32" x14ac:dyDescent="0.35">
      <c r="A212" s="3" t="str">
        <f t="shared" si="3"/>
        <v>Wen_WW_HS</v>
      </c>
      <c r="B212" s="3">
        <v>4</v>
      </c>
      <c r="C212" s="3">
        <v>3</v>
      </c>
      <c r="D212" s="3" t="s">
        <v>117</v>
      </c>
      <c r="E212" s="3">
        <v>1067</v>
      </c>
      <c r="F212" s="3" t="s">
        <v>159</v>
      </c>
      <c r="G212" s="3" t="s">
        <v>121</v>
      </c>
      <c r="H212" s="3" t="s">
        <v>20</v>
      </c>
      <c r="I212" s="3" t="s">
        <v>25</v>
      </c>
      <c r="J212" s="3" t="s">
        <v>35</v>
      </c>
      <c r="K212" s="3" t="s">
        <v>23</v>
      </c>
      <c r="L212" s="3">
        <v>2</v>
      </c>
      <c r="M212" s="3">
        <v>4</v>
      </c>
      <c r="N212" s="4">
        <v>44483</v>
      </c>
      <c r="O212" s="54">
        <v>0.77083333333333337</v>
      </c>
      <c r="P212" s="5" t="b">
        <v>0</v>
      </c>
      <c r="Q212" s="7">
        <f>E212</f>
        <v>1067</v>
      </c>
      <c r="R212" s="7"/>
      <c r="S212" s="7"/>
      <c r="T212" s="7"/>
      <c r="U212" s="3" t="s">
        <v>160</v>
      </c>
      <c r="V212" t="s">
        <v>302</v>
      </c>
      <c r="AA212" s="3" t="s">
        <v>220</v>
      </c>
      <c r="AB212" s="3"/>
      <c r="AC212" s="3"/>
      <c r="AD212" s="3"/>
      <c r="AE212" s="3"/>
      <c r="AF212" t="s">
        <v>895</v>
      </c>
    </row>
    <row r="213" spans="1:32" x14ac:dyDescent="0.35">
      <c r="A213" s="3" t="str">
        <f t="shared" si="3"/>
        <v>Wen_WW_HS</v>
      </c>
      <c r="B213" s="3">
        <v>4</v>
      </c>
      <c r="C213" s="3">
        <v>3</v>
      </c>
      <c r="D213" s="3" t="s">
        <v>117</v>
      </c>
      <c r="E213" s="3">
        <v>1067</v>
      </c>
      <c r="F213" s="3" t="s">
        <v>159</v>
      </c>
      <c r="G213" s="3" t="s">
        <v>121</v>
      </c>
      <c r="H213" s="3" t="s">
        <v>20</v>
      </c>
      <c r="I213" s="3" t="s">
        <v>25</v>
      </c>
      <c r="J213" s="3"/>
      <c r="K213" s="3" t="s">
        <v>23</v>
      </c>
      <c r="L213" s="3"/>
      <c r="M213" s="3">
        <v>4</v>
      </c>
      <c r="N213" s="4"/>
      <c r="O213" s="4"/>
      <c r="P213" s="5" t="b">
        <v>1</v>
      </c>
      <c r="Q213" s="7">
        <v>1068</v>
      </c>
      <c r="R213" s="7"/>
      <c r="S213" s="7"/>
      <c r="T213" s="7"/>
      <c r="U213" s="3" t="s">
        <v>161</v>
      </c>
      <c r="V213" t="s">
        <v>302</v>
      </c>
      <c r="W213" t="s">
        <v>302</v>
      </c>
      <c r="AA213" s="3" t="s">
        <v>218</v>
      </c>
      <c r="AB213" s="3"/>
      <c r="AC213" s="3"/>
      <c r="AD213" s="3"/>
      <c r="AE213" s="3"/>
    </row>
    <row r="214" spans="1:32" x14ac:dyDescent="0.35">
      <c r="A214" s="3" t="str">
        <f t="shared" si="3"/>
        <v>Sto_WW_HS</v>
      </c>
      <c r="B214" s="3">
        <v>5</v>
      </c>
      <c r="C214" s="3">
        <v>3</v>
      </c>
      <c r="D214" s="3" t="s">
        <v>117</v>
      </c>
      <c r="E214" s="3">
        <v>1069</v>
      </c>
      <c r="F214" s="3" t="s">
        <v>162</v>
      </c>
      <c r="G214" s="3" t="s">
        <v>121</v>
      </c>
      <c r="H214" s="3" t="s">
        <v>20</v>
      </c>
      <c r="I214" s="3" t="s">
        <v>21</v>
      </c>
      <c r="J214" s="3" t="s">
        <v>26</v>
      </c>
      <c r="K214" s="3" t="s">
        <v>27</v>
      </c>
      <c r="L214" s="3">
        <v>2</v>
      </c>
      <c r="M214" s="3">
        <v>2</v>
      </c>
      <c r="N214" s="4">
        <v>44481</v>
      </c>
      <c r="O214" s="4"/>
      <c r="P214" s="5" t="b">
        <v>0</v>
      </c>
      <c r="Q214" s="7">
        <f>E214</f>
        <v>1069</v>
      </c>
      <c r="R214" s="7"/>
      <c r="S214" s="7"/>
      <c r="T214" s="7" t="s">
        <v>302</v>
      </c>
      <c r="U214" s="3"/>
      <c r="AA214" s="3"/>
      <c r="AB214" s="3" t="s">
        <v>326</v>
      </c>
      <c r="AC214" s="3" t="s">
        <v>896</v>
      </c>
      <c r="AD214" s="3" t="s">
        <v>896</v>
      </c>
      <c r="AE214" s="3" t="s">
        <v>896</v>
      </c>
    </row>
    <row r="215" spans="1:32" x14ac:dyDescent="0.35">
      <c r="A215" s="3" t="str">
        <f t="shared" si="3"/>
        <v>Sto_WW_HS</v>
      </c>
      <c r="B215" s="3">
        <v>5</v>
      </c>
      <c r="C215" s="3">
        <v>3</v>
      </c>
      <c r="D215" s="3" t="s">
        <v>117</v>
      </c>
      <c r="E215" s="3">
        <v>1069</v>
      </c>
      <c r="F215" s="3" t="s">
        <v>162</v>
      </c>
      <c r="G215" s="3" t="s">
        <v>121</v>
      </c>
      <c r="H215" s="3" t="s">
        <v>20</v>
      </c>
      <c r="I215" s="3" t="s">
        <v>21</v>
      </c>
      <c r="J215" s="3" t="s">
        <v>28</v>
      </c>
      <c r="K215" s="3" t="s">
        <v>27</v>
      </c>
      <c r="L215" s="3">
        <v>2</v>
      </c>
      <c r="M215" s="3">
        <v>2</v>
      </c>
      <c r="N215" s="4">
        <v>44481</v>
      </c>
      <c r="O215" s="4"/>
      <c r="P215" s="5" t="b">
        <v>1</v>
      </c>
      <c r="Q215" s="7">
        <v>1070</v>
      </c>
      <c r="R215" s="7"/>
      <c r="S215" s="7"/>
      <c r="T215" s="7"/>
      <c r="U215" s="3"/>
      <c r="Z215" t="s">
        <v>302</v>
      </c>
      <c r="AA215" s="3"/>
      <c r="AB215" s="3"/>
      <c r="AC215" s="3"/>
      <c r="AD215" s="3"/>
      <c r="AE215" s="3"/>
    </row>
    <row r="216" spans="1:32" x14ac:dyDescent="0.35">
      <c r="A216" s="3" t="str">
        <f t="shared" si="3"/>
        <v>Wen_WS_HS</v>
      </c>
      <c r="B216" s="3">
        <v>6</v>
      </c>
      <c r="C216" s="3">
        <v>3</v>
      </c>
      <c r="D216" s="3" t="s">
        <v>117</v>
      </c>
      <c r="E216" s="3">
        <v>1071</v>
      </c>
      <c r="F216" s="3" t="s">
        <v>163</v>
      </c>
      <c r="G216" s="3" t="s">
        <v>121</v>
      </c>
      <c r="H216" s="3" t="s">
        <v>39</v>
      </c>
      <c r="I216" s="3" t="s">
        <v>25</v>
      </c>
      <c r="J216" s="3" t="s">
        <v>22</v>
      </c>
      <c r="K216" s="3" t="s">
        <v>23</v>
      </c>
      <c r="L216" s="3">
        <v>2</v>
      </c>
      <c r="M216" s="3">
        <v>4</v>
      </c>
      <c r="N216" s="4">
        <v>44482</v>
      </c>
      <c r="O216" s="54">
        <v>0.46875</v>
      </c>
      <c r="P216" s="5" t="b">
        <v>0</v>
      </c>
      <c r="Q216" s="7">
        <f>E216</f>
        <v>1071</v>
      </c>
      <c r="R216" s="7"/>
      <c r="S216" s="7"/>
      <c r="T216" s="7"/>
      <c r="U216" s="3"/>
      <c r="Y216" t="s">
        <v>302</v>
      </c>
      <c r="AA216" s="3"/>
      <c r="AB216" s="3"/>
      <c r="AC216" t="s">
        <v>894</v>
      </c>
      <c r="AD216" t="s">
        <v>894</v>
      </c>
      <c r="AE216" t="s">
        <v>894</v>
      </c>
      <c r="AF216" t="s">
        <v>895</v>
      </c>
    </row>
    <row r="217" spans="1:32" x14ac:dyDescent="0.35">
      <c r="A217" s="3" t="str">
        <f t="shared" si="3"/>
        <v>Wen_WS_HS</v>
      </c>
      <c r="B217" s="3">
        <v>6</v>
      </c>
      <c r="C217" s="3">
        <v>3</v>
      </c>
      <c r="D217" s="3" t="s">
        <v>117</v>
      </c>
      <c r="E217" s="3">
        <v>1071</v>
      </c>
      <c r="F217" s="3" t="s">
        <v>163</v>
      </c>
      <c r="G217" s="3" t="s">
        <v>121</v>
      </c>
      <c r="H217" s="3" t="s">
        <v>39</v>
      </c>
      <c r="I217" s="3" t="s">
        <v>25</v>
      </c>
      <c r="J217" s="3" t="s">
        <v>35</v>
      </c>
      <c r="K217" s="3" t="s">
        <v>23</v>
      </c>
      <c r="L217" s="3">
        <v>2</v>
      </c>
      <c r="M217" s="3">
        <v>4</v>
      </c>
      <c r="N217" s="4">
        <v>44482</v>
      </c>
      <c r="O217" s="54">
        <v>0.46875</v>
      </c>
      <c r="P217" s="5" t="b">
        <v>1</v>
      </c>
      <c r="Q217" s="7">
        <v>1072</v>
      </c>
      <c r="R217" s="7">
        <v>29</v>
      </c>
      <c r="S217" s="7"/>
      <c r="T217" s="7"/>
      <c r="U217" s="3"/>
      <c r="Z217" t="s">
        <v>302</v>
      </c>
      <c r="AA217" s="3"/>
      <c r="AB217" s="3" t="s">
        <v>325</v>
      </c>
      <c r="AC217" s="3"/>
      <c r="AD217" s="3"/>
      <c r="AE217" s="3"/>
    </row>
    <row r="218" spans="1:32" x14ac:dyDescent="0.35">
      <c r="A218" s="3" t="str">
        <f t="shared" si="3"/>
        <v>Sto_WS_HS</v>
      </c>
      <c r="B218" s="3">
        <v>7</v>
      </c>
      <c r="C218" s="3">
        <v>3</v>
      </c>
      <c r="D218" s="3" t="s">
        <v>117</v>
      </c>
      <c r="E218" s="3">
        <v>1073</v>
      </c>
      <c r="F218" s="3" t="s">
        <v>164</v>
      </c>
      <c r="G218" s="3" t="s">
        <v>121</v>
      </c>
      <c r="H218" s="3" t="s">
        <v>39</v>
      </c>
      <c r="I218" s="3" t="s">
        <v>21</v>
      </c>
      <c r="J218" s="3" t="s">
        <v>26</v>
      </c>
      <c r="K218" s="3" t="s">
        <v>27</v>
      </c>
      <c r="L218" s="3">
        <v>2</v>
      </c>
      <c r="M218" s="3">
        <v>2</v>
      </c>
      <c r="N218" s="4">
        <v>44481</v>
      </c>
      <c r="O218" s="4"/>
      <c r="P218" s="5" t="b">
        <v>0</v>
      </c>
      <c r="Q218" s="7">
        <f>E218</f>
        <v>1073</v>
      </c>
      <c r="R218" s="7"/>
      <c r="S218" s="7"/>
      <c r="T218" s="7" t="s">
        <v>302</v>
      </c>
      <c r="U218" s="3"/>
      <c r="AA218" s="3"/>
      <c r="AB218" s="3" t="s">
        <v>326</v>
      </c>
      <c r="AC218" s="3" t="s">
        <v>896</v>
      </c>
      <c r="AD218" s="3" t="s">
        <v>896</v>
      </c>
      <c r="AE218" s="3" t="s">
        <v>896</v>
      </c>
    </row>
    <row r="219" spans="1:32" x14ac:dyDescent="0.35">
      <c r="A219" s="3" t="str">
        <f t="shared" si="3"/>
        <v>Sto_WS_HS</v>
      </c>
      <c r="B219" s="3">
        <v>7</v>
      </c>
      <c r="C219" s="3">
        <v>3</v>
      </c>
      <c r="D219" s="3" t="s">
        <v>117</v>
      </c>
      <c r="E219" s="3">
        <v>1073</v>
      </c>
      <c r="F219" s="3" t="s">
        <v>164</v>
      </c>
      <c r="G219" s="3" t="s">
        <v>121</v>
      </c>
      <c r="H219" s="3" t="s">
        <v>39</v>
      </c>
      <c r="I219" s="3" t="s">
        <v>21</v>
      </c>
      <c r="J219" s="3" t="s">
        <v>28</v>
      </c>
      <c r="K219" s="3" t="s">
        <v>27</v>
      </c>
      <c r="L219" s="3">
        <v>2</v>
      </c>
      <c r="M219" s="3">
        <v>2</v>
      </c>
      <c r="N219" s="4">
        <v>44481</v>
      </c>
      <c r="O219" s="4"/>
      <c r="P219" s="5" t="b">
        <v>1</v>
      </c>
      <c r="Q219" s="7">
        <v>1074</v>
      </c>
      <c r="R219" s="7"/>
      <c r="S219" s="7"/>
      <c r="T219" s="7"/>
      <c r="U219" s="3"/>
      <c r="Z219" t="s">
        <v>302</v>
      </c>
      <c r="AA219" s="3"/>
      <c r="AB219" s="3"/>
      <c r="AC219" s="3"/>
      <c r="AD219" s="3"/>
      <c r="AE219" s="3"/>
    </row>
    <row r="220" spans="1:32" x14ac:dyDescent="0.35">
      <c r="A220" s="3" t="str">
        <f t="shared" si="3"/>
        <v>Sto_WS_HS</v>
      </c>
      <c r="B220" s="3">
        <v>8</v>
      </c>
      <c r="C220" s="3">
        <v>3</v>
      </c>
      <c r="D220" s="3" t="s">
        <v>117</v>
      </c>
      <c r="E220" s="3">
        <v>1075</v>
      </c>
      <c r="F220" s="3" t="s">
        <v>165</v>
      </c>
      <c r="G220" s="3" t="s">
        <v>121</v>
      </c>
      <c r="H220" s="3" t="s">
        <v>39</v>
      </c>
      <c r="I220" s="3" t="s">
        <v>21</v>
      </c>
      <c r="J220" s="3" t="s">
        <v>22</v>
      </c>
      <c r="K220" s="3" t="s">
        <v>23</v>
      </c>
      <c r="L220" s="3">
        <v>2</v>
      </c>
      <c r="M220" s="3">
        <v>5</v>
      </c>
      <c r="N220" s="4">
        <v>44482</v>
      </c>
      <c r="O220" s="54">
        <v>0.46875</v>
      </c>
      <c r="P220" s="5" t="b">
        <v>0</v>
      </c>
      <c r="Q220" s="7">
        <f>E220</f>
        <v>1075</v>
      </c>
      <c r="R220" s="7"/>
      <c r="S220" s="7"/>
      <c r="T220" s="7"/>
      <c r="U220" s="3"/>
      <c r="AA220" s="3"/>
      <c r="AB220" s="3"/>
      <c r="AC220" t="s">
        <v>894</v>
      </c>
      <c r="AD220" t="s">
        <v>894</v>
      </c>
      <c r="AE220" t="s">
        <v>894</v>
      </c>
      <c r="AF220" t="s">
        <v>895</v>
      </c>
    </row>
    <row r="221" spans="1:32" x14ac:dyDescent="0.35">
      <c r="A221" s="3" t="str">
        <f t="shared" si="3"/>
        <v>Sto_WS_HS</v>
      </c>
      <c r="B221" s="3">
        <v>8</v>
      </c>
      <c r="C221" s="3">
        <v>3</v>
      </c>
      <c r="D221" s="3" t="s">
        <v>117</v>
      </c>
      <c r="E221" s="3">
        <v>1075</v>
      </c>
      <c r="F221" s="3" t="s">
        <v>165</v>
      </c>
      <c r="G221" s="3" t="s">
        <v>121</v>
      </c>
      <c r="H221" s="3" t="s">
        <v>39</v>
      </c>
      <c r="I221" s="3" t="s">
        <v>21</v>
      </c>
      <c r="J221" s="3" t="s">
        <v>35</v>
      </c>
      <c r="K221" s="3" t="s">
        <v>23</v>
      </c>
      <c r="L221" s="3">
        <v>2</v>
      </c>
      <c r="M221" s="3">
        <v>5</v>
      </c>
      <c r="N221" s="4">
        <v>44482</v>
      </c>
      <c r="O221" s="54">
        <v>0.46875</v>
      </c>
      <c r="P221" s="5" t="b">
        <v>1</v>
      </c>
      <c r="Q221" s="7">
        <v>1076</v>
      </c>
      <c r="R221" s="7">
        <v>28</v>
      </c>
      <c r="S221" s="7"/>
      <c r="T221" s="7"/>
      <c r="U221" s="3"/>
      <c r="Z221" t="s">
        <v>302</v>
      </c>
      <c r="AA221" s="3" t="s">
        <v>212</v>
      </c>
      <c r="AB221" s="3" t="s">
        <v>325</v>
      </c>
      <c r="AC221" s="3"/>
      <c r="AD221" s="3"/>
      <c r="AE221" s="3"/>
    </row>
    <row r="222" spans="1:32" x14ac:dyDescent="0.35">
      <c r="A222" s="3" t="str">
        <f t="shared" si="3"/>
        <v>Wen_WS_HS</v>
      </c>
      <c r="B222" s="3">
        <v>9</v>
      </c>
      <c r="C222" s="3">
        <v>3</v>
      </c>
      <c r="D222" s="3" t="s">
        <v>117</v>
      </c>
      <c r="E222" s="3">
        <v>1077</v>
      </c>
      <c r="F222" s="3" t="s">
        <v>166</v>
      </c>
      <c r="G222" s="3" t="s">
        <v>121</v>
      </c>
      <c r="H222" s="3" t="s">
        <v>39</v>
      </c>
      <c r="I222" s="3" t="s">
        <v>25</v>
      </c>
      <c r="J222" s="3" t="s">
        <v>26</v>
      </c>
      <c r="K222" s="3" t="s">
        <v>27</v>
      </c>
      <c r="L222" s="3"/>
      <c r="M222" s="3">
        <v>2</v>
      </c>
      <c r="N222" s="4"/>
      <c r="O222" s="4"/>
      <c r="P222" s="5" t="b">
        <v>0</v>
      </c>
      <c r="Q222" s="7">
        <f>E222</f>
        <v>1077</v>
      </c>
      <c r="R222" s="7"/>
      <c r="S222" s="7"/>
      <c r="T222" s="7" t="s">
        <v>302</v>
      </c>
      <c r="U222" s="3" t="s">
        <v>167</v>
      </c>
      <c r="V222" t="s">
        <v>302</v>
      </c>
      <c r="W222" s="7" t="s">
        <v>302</v>
      </c>
      <c r="AA222" s="3" t="s">
        <v>168</v>
      </c>
      <c r="AB222" s="3" t="s">
        <v>326</v>
      </c>
      <c r="AC222" s="3" t="s">
        <v>896</v>
      </c>
      <c r="AD222" s="3" t="s">
        <v>896</v>
      </c>
      <c r="AE222" s="3" t="s">
        <v>896</v>
      </c>
      <c r="AF222" t="s">
        <v>895</v>
      </c>
    </row>
    <row r="223" spans="1:32" x14ac:dyDescent="0.35">
      <c r="A223" s="3" t="str">
        <f t="shared" si="3"/>
        <v>Wen_WS_HS</v>
      </c>
      <c r="B223" s="3">
        <v>9</v>
      </c>
      <c r="C223" s="3">
        <v>3</v>
      </c>
      <c r="D223" s="3" t="s">
        <v>117</v>
      </c>
      <c r="E223" s="3">
        <v>1077</v>
      </c>
      <c r="F223" s="3" t="s">
        <v>166</v>
      </c>
      <c r="G223" s="3" t="s">
        <v>121</v>
      </c>
      <c r="H223" s="3" t="s">
        <v>39</v>
      </c>
      <c r="I223" s="3" t="s">
        <v>25</v>
      </c>
      <c r="J223" s="3" t="s">
        <v>35</v>
      </c>
      <c r="K223" s="3"/>
      <c r="L223" s="3">
        <v>2</v>
      </c>
      <c r="M223" s="3">
        <v>2</v>
      </c>
      <c r="N223" s="4">
        <v>44483</v>
      </c>
      <c r="O223" s="54">
        <v>0.5</v>
      </c>
      <c r="P223" s="5" t="b">
        <v>1</v>
      </c>
      <c r="Q223" s="7">
        <v>1078</v>
      </c>
      <c r="R223" s="7">
        <v>32</v>
      </c>
      <c r="S223" s="7"/>
      <c r="T223" s="7"/>
      <c r="U223" s="3" t="s">
        <v>169</v>
      </c>
      <c r="V223" t="s">
        <v>302</v>
      </c>
      <c r="AA223" s="3" t="s">
        <v>220</v>
      </c>
      <c r="AB223" s="3" t="s">
        <v>325</v>
      </c>
      <c r="AC223" s="3"/>
      <c r="AD223" s="3"/>
      <c r="AE223" s="3"/>
    </row>
    <row r="224" spans="1:32" x14ac:dyDescent="0.35">
      <c r="A224" s="3" t="str">
        <f t="shared" si="3"/>
        <v>Sto_WW_HS</v>
      </c>
      <c r="B224" s="3">
        <v>10</v>
      </c>
      <c r="C224" s="3">
        <v>3</v>
      </c>
      <c r="D224" s="3" t="s">
        <v>117</v>
      </c>
      <c r="E224" s="3">
        <v>1079</v>
      </c>
      <c r="F224" s="3" t="s">
        <v>170</v>
      </c>
      <c r="G224" s="3" t="s">
        <v>121</v>
      </c>
      <c r="H224" s="3" t="s">
        <v>20</v>
      </c>
      <c r="I224" s="3" t="s">
        <v>21</v>
      </c>
      <c r="J224" s="3" t="s">
        <v>22</v>
      </c>
      <c r="K224" s="3" t="s">
        <v>23</v>
      </c>
      <c r="L224" s="3">
        <v>2</v>
      </c>
      <c r="M224" s="3">
        <v>5</v>
      </c>
      <c r="N224" s="4">
        <v>44482</v>
      </c>
      <c r="O224" s="54">
        <v>0.46875</v>
      </c>
      <c r="P224" s="5" t="b">
        <v>0</v>
      </c>
      <c r="Q224" s="7">
        <f>E224</f>
        <v>1079</v>
      </c>
      <c r="R224" s="7"/>
      <c r="S224" s="7"/>
      <c r="T224" s="7"/>
      <c r="U224" s="3"/>
      <c r="AA224" s="3"/>
      <c r="AB224" s="3"/>
      <c r="AC224" t="s">
        <v>894</v>
      </c>
      <c r="AD224" t="s">
        <v>894</v>
      </c>
      <c r="AE224" t="s">
        <v>894</v>
      </c>
      <c r="AF224" t="s">
        <v>895</v>
      </c>
    </row>
    <row r="225" spans="1:32" x14ac:dyDescent="0.35">
      <c r="A225" s="3" t="str">
        <f t="shared" si="3"/>
        <v>Sto_WW_HS</v>
      </c>
      <c r="B225" s="3">
        <v>10</v>
      </c>
      <c r="C225" s="3">
        <v>3</v>
      </c>
      <c r="D225" s="3" t="s">
        <v>117</v>
      </c>
      <c r="E225" s="3">
        <v>1079</v>
      </c>
      <c r="F225" s="3" t="s">
        <v>170</v>
      </c>
      <c r="G225" s="3" t="s">
        <v>121</v>
      </c>
      <c r="H225" s="3" t="s">
        <v>20</v>
      </c>
      <c r="I225" s="3" t="s">
        <v>21</v>
      </c>
      <c r="J225" s="3" t="s">
        <v>35</v>
      </c>
      <c r="K225" s="3" t="s">
        <v>23</v>
      </c>
      <c r="L225" s="3">
        <v>2</v>
      </c>
      <c r="M225" s="3">
        <v>5</v>
      </c>
      <c r="N225" s="4">
        <v>44482</v>
      </c>
      <c r="O225" s="54">
        <v>0.46875</v>
      </c>
      <c r="P225" s="5" t="b">
        <v>1</v>
      </c>
      <c r="Q225" s="7">
        <v>1080</v>
      </c>
      <c r="R225" s="7">
        <v>23</v>
      </c>
      <c r="S225" s="7"/>
      <c r="T225" s="7"/>
      <c r="U225" s="3"/>
      <c r="Z225" t="s">
        <v>302</v>
      </c>
      <c r="AA225" s="3"/>
      <c r="AB225" s="3" t="s">
        <v>325</v>
      </c>
      <c r="AC225" s="3"/>
      <c r="AD225" s="3"/>
      <c r="AE225" s="3"/>
    </row>
    <row r="226" spans="1:32" x14ac:dyDescent="0.35">
      <c r="A226" s="3" t="str">
        <f t="shared" si="3"/>
        <v>Sto_WS_HS</v>
      </c>
      <c r="B226" s="3">
        <v>11</v>
      </c>
      <c r="C226" s="3">
        <v>3</v>
      </c>
      <c r="D226" s="3" t="s">
        <v>117</v>
      </c>
      <c r="E226" s="3">
        <v>1081</v>
      </c>
      <c r="F226" s="3" t="s">
        <v>171</v>
      </c>
      <c r="G226" s="3" t="s">
        <v>121</v>
      </c>
      <c r="H226" s="3" t="s">
        <v>39</v>
      </c>
      <c r="I226" s="3" t="s">
        <v>21</v>
      </c>
      <c r="J226" s="3" t="s">
        <v>26</v>
      </c>
      <c r="K226" s="3" t="s">
        <v>27</v>
      </c>
      <c r="L226" s="3">
        <v>2</v>
      </c>
      <c r="M226" s="3">
        <v>3</v>
      </c>
      <c r="N226" s="4">
        <v>44482</v>
      </c>
      <c r="O226" s="4"/>
      <c r="P226" s="5" t="b">
        <v>0</v>
      </c>
      <c r="Q226" s="7">
        <f>E226</f>
        <v>1081</v>
      </c>
      <c r="R226" s="7"/>
      <c r="S226" s="7"/>
      <c r="T226" s="7" t="s">
        <v>302</v>
      </c>
      <c r="U226" s="3"/>
      <c r="AA226" s="3" t="s">
        <v>232</v>
      </c>
      <c r="AB226" s="3" t="s">
        <v>326</v>
      </c>
      <c r="AC226" s="3" t="s">
        <v>896</v>
      </c>
      <c r="AD226" s="3" t="s">
        <v>896</v>
      </c>
      <c r="AE226" s="3" t="s">
        <v>896</v>
      </c>
    </row>
    <row r="227" spans="1:32" x14ac:dyDescent="0.35">
      <c r="A227" s="3" t="str">
        <f t="shared" si="3"/>
        <v>Sto_WS_HS</v>
      </c>
      <c r="B227" s="3">
        <v>11</v>
      </c>
      <c r="C227" s="3">
        <v>3</v>
      </c>
      <c r="D227" s="3" t="s">
        <v>117</v>
      </c>
      <c r="E227" s="3">
        <v>1081</v>
      </c>
      <c r="F227" s="3" t="s">
        <v>171</v>
      </c>
      <c r="G227" s="3" t="s">
        <v>121</v>
      </c>
      <c r="H227" s="3" t="s">
        <v>39</v>
      </c>
      <c r="I227" s="3" t="s">
        <v>21</v>
      </c>
      <c r="J227" s="3"/>
      <c r="K227" s="3"/>
      <c r="L227" s="3"/>
      <c r="M227" s="3">
        <v>3</v>
      </c>
      <c r="N227" s="4">
        <v>44482</v>
      </c>
      <c r="O227" s="4"/>
      <c r="P227" s="5" t="b">
        <v>1</v>
      </c>
      <c r="Q227" s="7">
        <v>1082</v>
      </c>
      <c r="R227" s="7"/>
      <c r="S227" s="7"/>
      <c r="T227" s="7"/>
      <c r="U227" s="3"/>
      <c r="AA227" s="3" t="s">
        <v>216</v>
      </c>
      <c r="AB227" s="3"/>
      <c r="AC227" s="3"/>
      <c r="AD227" s="3"/>
      <c r="AE227" s="3"/>
    </row>
    <row r="228" spans="1:32" x14ac:dyDescent="0.35">
      <c r="A228" s="3" t="str">
        <f t="shared" si="3"/>
        <v>Wen_WW_HS</v>
      </c>
      <c r="B228" s="3">
        <v>12</v>
      </c>
      <c r="C228" s="3">
        <v>3</v>
      </c>
      <c r="D228" s="3" t="s">
        <v>117</v>
      </c>
      <c r="E228" s="3">
        <v>1083</v>
      </c>
      <c r="F228" s="3" t="s">
        <v>172</v>
      </c>
      <c r="G228" s="3" t="s">
        <v>121</v>
      </c>
      <c r="H228" s="3" t="s">
        <v>20</v>
      </c>
      <c r="I228" s="3" t="s">
        <v>25</v>
      </c>
      <c r="J228" s="3" t="s">
        <v>22</v>
      </c>
      <c r="K228" s="3" t="s">
        <v>23</v>
      </c>
      <c r="L228" s="3">
        <v>2</v>
      </c>
      <c r="M228" s="3">
        <v>5</v>
      </c>
      <c r="N228" s="4">
        <v>44482</v>
      </c>
      <c r="O228" s="54">
        <v>0.46875</v>
      </c>
      <c r="P228" s="5" t="b">
        <v>0</v>
      </c>
      <c r="Q228" s="7">
        <f>E228</f>
        <v>1083</v>
      </c>
      <c r="R228" s="7"/>
      <c r="S228" s="7"/>
      <c r="T228" s="7"/>
      <c r="U228" s="3"/>
      <c r="AA228" s="3"/>
      <c r="AB228" s="3"/>
      <c r="AC228" t="s">
        <v>894</v>
      </c>
      <c r="AD228" t="s">
        <v>894</v>
      </c>
      <c r="AE228" t="s">
        <v>894</v>
      </c>
      <c r="AF228" t="s">
        <v>895</v>
      </c>
    </row>
    <row r="229" spans="1:32" x14ac:dyDescent="0.35">
      <c r="A229" s="3" t="str">
        <f t="shared" si="3"/>
        <v>Wen_WW_HS</v>
      </c>
      <c r="B229" s="3">
        <v>12</v>
      </c>
      <c r="C229" s="3">
        <v>3</v>
      </c>
      <c r="D229" s="3" t="s">
        <v>117</v>
      </c>
      <c r="E229" s="3">
        <v>1083</v>
      </c>
      <c r="F229" s="3" t="s">
        <v>172</v>
      </c>
      <c r="G229" s="3" t="s">
        <v>121</v>
      </c>
      <c r="H229" s="3" t="s">
        <v>20</v>
      </c>
      <c r="I229" s="3" t="s">
        <v>25</v>
      </c>
      <c r="J229" s="3" t="s">
        <v>35</v>
      </c>
      <c r="K229" s="3" t="s">
        <v>23</v>
      </c>
      <c r="L229" s="3">
        <v>2</v>
      </c>
      <c r="M229" s="3">
        <v>5</v>
      </c>
      <c r="N229" s="4">
        <v>44482</v>
      </c>
      <c r="O229" s="54">
        <v>0.46875</v>
      </c>
      <c r="P229" s="5" t="b">
        <v>1</v>
      </c>
      <c r="Q229" s="7">
        <v>1084</v>
      </c>
      <c r="R229" s="7">
        <v>20</v>
      </c>
      <c r="S229" s="7"/>
      <c r="T229" s="7"/>
      <c r="U229" s="3"/>
      <c r="AA229" s="3"/>
      <c r="AB229" s="3" t="s">
        <v>325</v>
      </c>
      <c r="AC229" s="3"/>
      <c r="AD229" s="3"/>
      <c r="AE229" s="3"/>
    </row>
    <row r="230" spans="1:32" x14ac:dyDescent="0.35">
      <c r="A230" s="3" t="str">
        <f t="shared" si="3"/>
        <v>Sto_WW_HS</v>
      </c>
      <c r="B230" s="3">
        <v>13</v>
      </c>
      <c r="C230" s="3">
        <v>3</v>
      </c>
      <c r="D230" s="3" t="s">
        <v>117</v>
      </c>
      <c r="E230" s="3">
        <v>1085</v>
      </c>
      <c r="F230" s="3" t="s">
        <v>173</v>
      </c>
      <c r="G230" s="3" t="s">
        <v>121</v>
      </c>
      <c r="H230" s="3" t="s">
        <v>20</v>
      </c>
      <c r="I230" s="3" t="s">
        <v>21</v>
      </c>
      <c r="J230" s="3" t="s">
        <v>26</v>
      </c>
      <c r="K230" s="3" t="s">
        <v>27</v>
      </c>
      <c r="L230" s="3">
        <v>2</v>
      </c>
      <c r="M230" s="3">
        <v>3</v>
      </c>
      <c r="N230" s="4">
        <v>44482</v>
      </c>
      <c r="O230" s="4"/>
      <c r="P230" s="5" t="b">
        <v>0</v>
      </c>
      <c r="Q230" s="7">
        <f>E230</f>
        <v>1085</v>
      </c>
      <c r="R230" s="7"/>
      <c r="S230" s="7"/>
      <c r="T230" s="7" t="s">
        <v>302</v>
      </c>
      <c r="U230" s="3"/>
      <c r="AA230" s="3"/>
      <c r="AB230" s="3" t="s">
        <v>326</v>
      </c>
      <c r="AC230" s="3" t="s">
        <v>896</v>
      </c>
      <c r="AD230" s="3" t="s">
        <v>896</v>
      </c>
      <c r="AE230" s="3" t="s">
        <v>896</v>
      </c>
    </row>
    <row r="231" spans="1:32" x14ac:dyDescent="0.35">
      <c r="A231" s="3" t="str">
        <f t="shared" si="3"/>
        <v>Sto_WW_HS</v>
      </c>
      <c r="B231" s="3">
        <v>13</v>
      </c>
      <c r="C231" s="3">
        <v>3</v>
      </c>
      <c r="D231" s="3" t="s">
        <v>117</v>
      </c>
      <c r="E231" s="3">
        <v>1085</v>
      </c>
      <c r="F231" s="3" t="s">
        <v>173</v>
      </c>
      <c r="G231" s="3" t="s">
        <v>121</v>
      </c>
      <c r="H231" s="3" t="s">
        <v>20</v>
      </c>
      <c r="I231" s="3" t="s">
        <v>21</v>
      </c>
      <c r="J231" s="3" t="s">
        <v>28</v>
      </c>
      <c r="K231" s="3" t="s">
        <v>27</v>
      </c>
      <c r="L231" s="3">
        <v>2</v>
      </c>
      <c r="M231" s="3">
        <v>3</v>
      </c>
      <c r="N231" s="4">
        <v>44482</v>
      </c>
      <c r="O231" s="4"/>
      <c r="P231" s="5" t="b">
        <v>1</v>
      </c>
      <c r="Q231" s="7">
        <v>1086</v>
      </c>
      <c r="R231" s="7"/>
      <c r="S231" s="7"/>
      <c r="T231" s="7"/>
      <c r="U231" s="3"/>
      <c r="Z231" t="s">
        <v>302</v>
      </c>
      <c r="AA231" s="3"/>
      <c r="AB231" s="3"/>
      <c r="AC231" s="3"/>
      <c r="AD231" s="3"/>
      <c r="AE231" s="3"/>
    </row>
    <row r="232" spans="1:32" x14ac:dyDescent="0.35">
      <c r="A232" s="3" t="str">
        <f t="shared" si="3"/>
        <v>Wen_WS_HS</v>
      </c>
      <c r="B232" s="3">
        <v>14</v>
      </c>
      <c r="C232" s="3">
        <v>3</v>
      </c>
      <c r="D232" s="3" t="s">
        <v>117</v>
      </c>
      <c r="E232" s="3">
        <v>1087</v>
      </c>
      <c r="F232" s="3" t="s">
        <v>174</v>
      </c>
      <c r="G232" s="3" t="s">
        <v>121</v>
      </c>
      <c r="H232" s="3" t="s">
        <v>39</v>
      </c>
      <c r="I232" s="3" t="s">
        <v>25</v>
      </c>
      <c r="J232" s="3" t="s">
        <v>22</v>
      </c>
      <c r="K232" s="3" t="s">
        <v>23</v>
      </c>
      <c r="L232" s="3">
        <v>2</v>
      </c>
      <c r="M232" s="3">
        <v>5</v>
      </c>
      <c r="N232" s="4">
        <v>44482</v>
      </c>
      <c r="O232" s="54">
        <v>0.46875</v>
      </c>
      <c r="P232" s="5" t="b">
        <v>0</v>
      </c>
      <c r="Q232" s="7">
        <f>E232</f>
        <v>1087</v>
      </c>
      <c r="R232" s="7"/>
      <c r="S232" s="7"/>
      <c r="T232" s="7"/>
      <c r="U232" s="3"/>
      <c r="X232" t="s">
        <v>337</v>
      </c>
      <c r="AA232" s="3"/>
      <c r="AB232" s="3"/>
      <c r="AC232" t="s">
        <v>894</v>
      </c>
      <c r="AD232" t="s">
        <v>894</v>
      </c>
      <c r="AE232" t="s">
        <v>894</v>
      </c>
      <c r="AF232" t="s">
        <v>895</v>
      </c>
    </row>
    <row r="233" spans="1:32" x14ac:dyDescent="0.35">
      <c r="A233" s="3" t="str">
        <f t="shared" si="3"/>
        <v>Wen_WS_HS</v>
      </c>
      <c r="B233" s="3">
        <v>14</v>
      </c>
      <c r="C233" s="3">
        <v>3</v>
      </c>
      <c r="D233" s="3" t="s">
        <v>117</v>
      </c>
      <c r="E233" s="3">
        <v>1087</v>
      </c>
      <c r="F233" s="3" t="s">
        <v>174</v>
      </c>
      <c r="G233" s="3" t="s">
        <v>121</v>
      </c>
      <c r="H233" s="3" t="s">
        <v>39</v>
      </c>
      <c r="I233" s="3" t="s">
        <v>25</v>
      </c>
      <c r="J233" s="3" t="s">
        <v>35</v>
      </c>
      <c r="K233" s="3" t="s">
        <v>23</v>
      </c>
      <c r="L233" s="3">
        <v>2</v>
      </c>
      <c r="M233" s="3">
        <v>5</v>
      </c>
      <c r="N233" s="4">
        <v>44482</v>
      </c>
      <c r="O233" s="54">
        <v>0.46875</v>
      </c>
      <c r="P233" s="5" t="b">
        <v>1</v>
      </c>
      <c r="Q233" s="7">
        <v>1088</v>
      </c>
      <c r="R233" s="7">
        <v>29</v>
      </c>
      <c r="S233" s="7"/>
      <c r="T233" s="7"/>
      <c r="U233" s="3"/>
      <c r="Z233" t="s">
        <v>302</v>
      </c>
      <c r="AA233" s="3" t="s">
        <v>213</v>
      </c>
      <c r="AB233" s="3" t="s">
        <v>325</v>
      </c>
      <c r="AC233" s="3"/>
      <c r="AD233" s="3"/>
      <c r="AE233" s="3"/>
    </row>
    <row r="234" spans="1:32" x14ac:dyDescent="0.35">
      <c r="A234" s="3" t="str">
        <f t="shared" si="3"/>
        <v>Wen_WW_HS</v>
      </c>
      <c r="B234" s="3">
        <v>15</v>
      </c>
      <c r="C234" s="3">
        <v>3</v>
      </c>
      <c r="D234" s="3" t="s">
        <v>117</v>
      </c>
      <c r="E234" s="3">
        <v>1089</v>
      </c>
      <c r="F234" s="3" t="s">
        <v>175</v>
      </c>
      <c r="G234" s="3" t="s">
        <v>121</v>
      </c>
      <c r="H234" s="3" t="s">
        <v>20</v>
      </c>
      <c r="I234" s="3" t="s">
        <v>25</v>
      </c>
      <c r="J234" s="3" t="s">
        <v>26</v>
      </c>
      <c r="K234" s="3" t="s">
        <v>27</v>
      </c>
      <c r="L234" s="3">
        <v>2</v>
      </c>
      <c r="M234" s="3">
        <v>3</v>
      </c>
      <c r="N234" s="4">
        <v>44482</v>
      </c>
      <c r="O234" s="4"/>
      <c r="P234" s="5" t="b">
        <v>0</v>
      </c>
      <c r="Q234" s="7">
        <f>E234</f>
        <v>1089</v>
      </c>
      <c r="R234" s="7"/>
      <c r="S234" s="7"/>
      <c r="T234" s="7" t="s">
        <v>302</v>
      </c>
      <c r="U234" s="3"/>
      <c r="AA234" s="3"/>
      <c r="AB234" s="3" t="s">
        <v>326</v>
      </c>
      <c r="AC234" s="3" t="s">
        <v>896</v>
      </c>
      <c r="AD234" s="3" t="s">
        <v>896</v>
      </c>
      <c r="AE234" s="3" t="s">
        <v>896</v>
      </c>
    </row>
    <row r="235" spans="1:32" x14ac:dyDescent="0.35">
      <c r="A235" s="3" t="str">
        <f t="shared" si="3"/>
        <v>Wen_WW_HS</v>
      </c>
      <c r="B235" s="3">
        <v>15</v>
      </c>
      <c r="C235" s="3">
        <v>3</v>
      </c>
      <c r="D235" s="3" t="s">
        <v>117</v>
      </c>
      <c r="E235" s="3">
        <v>1089</v>
      </c>
      <c r="F235" s="3" t="s">
        <v>175</v>
      </c>
      <c r="G235" s="3" t="s">
        <v>121</v>
      </c>
      <c r="H235" s="3" t="s">
        <v>20</v>
      </c>
      <c r="I235" s="3" t="s">
        <v>25</v>
      </c>
      <c r="J235" s="3" t="s">
        <v>28</v>
      </c>
      <c r="K235" s="3" t="s">
        <v>27</v>
      </c>
      <c r="L235" s="3">
        <v>2</v>
      </c>
      <c r="M235" s="3">
        <v>3</v>
      </c>
      <c r="N235" s="4">
        <v>44482</v>
      </c>
      <c r="O235" s="4"/>
      <c r="P235" s="5" t="b">
        <v>1</v>
      </c>
      <c r="Q235" s="7">
        <v>1090</v>
      </c>
      <c r="R235" s="7"/>
      <c r="S235" s="7"/>
      <c r="T235" s="7"/>
      <c r="U235" s="3"/>
      <c r="AA235" s="3"/>
      <c r="AB235" s="3"/>
      <c r="AC235" s="3"/>
      <c r="AD235" s="3"/>
      <c r="AE235" s="3"/>
    </row>
    <row r="236" spans="1:32" x14ac:dyDescent="0.35">
      <c r="A236" s="3" t="str">
        <f t="shared" si="3"/>
        <v>Sto_WS_HS</v>
      </c>
      <c r="B236" s="3">
        <v>16</v>
      </c>
      <c r="C236" s="3">
        <v>3</v>
      </c>
      <c r="D236" s="3" t="s">
        <v>117</v>
      </c>
      <c r="E236" s="3">
        <v>1091</v>
      </c>
      <c r="F236" s="3" t="s">
        <v>176</v>
      </c>
      <c r="G236" s="3" t="s">
        <v>121</v>
      </c>
      <c r="H236" s="3" t="s">
        <v>39</v>
      </c>
      <c r="I236" s="3" t="s">
        <v>21</v>
      </c>
      <c r="J236" s="3" t="s">
        <v>22</v>
      </c>
      <c r="K236" s="3" t="s">
        <v>23</v>
      </c>
      <c r="L236" s="3">
        <v>2</v>
      </c>
      <c r="M236" s="3">
        <v>6</v>
      </c>
      <c r="N236" s="4">
        <v>44482</v>
      </c>
      <c r="O236" s="54">
        <v>0.46875</v>
      </c>
      <c r="P236" s="5" t="b">
        <v>0</v>
      </c>
      <c r="Q236" s="7">
        <f>E236</f>
        <v>1091</v>
      </c>
      <c r="R236" s="7"/>
      <c r="S236" s="7"/>
      <c r="T236" s="7"/>
      <c r="U236" s="3"/>
      <c r="AA236" s="3"/>
      <c r="AB236" s="3"/>
      <c r="AC236" t="s">
        <v>894</v>
      </c>
      <c r="AD236" t="s">
        <v>894</v>
      </c>
      <c r="AE236" t="s">
        <v>894</v>
      </c>
      <c r="AF236" t="s">
        <v>895</v>
      </c>
    </row>
    <row r="237" spans="1:32" x14ac:dyDescent="0.35">
      <c r="A237" s="3" t="str">
        <f t="shared" si="3"/>
        <v>Sto_WS_HS</v>
      </c>
      <c r="B237" s="3">
        <v>16</v>
      </c>
      <c r="C237" s="3">
        <v>3</v>
      </c>
      <c r="D237" s="3" t="s">
        <v>117</v>
      </c>
      <c r="E237" s="3">
        <v>1091</v>
      </c>
      <c r="F237" s="3" t="s">
        <v>176</v>
      </c>
      <c r="G237" s="3" t="s">
        <v>121</v>
      </c>
      <c r="H237" s="3" t="s">
        <v>39</v>
      </c>
      <c r="I237" s="3" t="s">
        <v>21</v>
      </c>
      <c r="J237" s="3" t="s">
        <v>35</v>
      </c>
      <c r="K237" s="3" t="s">
        <v>23</v>
      </c>
      <c r="L237" s="3">
        <v>2</v>
      </c>
      <c r="M237" s="3">
        <v>6</v>
      </c>
      <c r="N237" s="4">
        <v>44482</v>
      </c>
      <c r="O237" s="54">
        <v>0.46875</v>
      </c>
      <c r="P237" s="5" t="b">
        <v>1</v>
      </c>
      <c r="Q237" s="7">
        <v>1092</v>
      </c>
      <c r="R237" s="7">
        <v>26</v>
      </c>
      <c r="S237" s="7"/>
      <c r="T237" s="7"/>
      <c r="U237" s="3"/>
      <c r="Z237" t="s">
        <v>302</v>
      </c>
      <c r="AA237" s="3"/>
      <c r="AB237" s="3" t="s">
        <v>325</v>
      </c>
      <c r="AC237" s="3"/>
      <c r="AD237" s="3"/>
      <c r="AE237" s="3"/>
    </row>
    <row r="238" spans="1:32" x14ac:dyDescent="0.35">
      <c r="A238" s="3" t="str">
        <f t="shared" si="3"/>
        <v>Sto_WW_HS</v>
      </c>
      <c r="B238" s="3">
        <v>17</v>
      </c>
      <c r="C238" s="3">
        <v>3</v>
      </c>
      <c r="D238" s="3" t="s">
        <v>117</v>
      </c>
      <c r="E238" s="3">
        <v>1093</v>
      </c>
      <c r="F238" s="3" t="s">
        <v>177</v>
      </c>
      <c r="G238" s="3" t="s">
        <v>121</v>
      </c>
      <c r="H238" s="3" t="s">
        <v>20</v>
      </c>
      <c r="I238" s="3" t="s">
        <v>21</v>
      </c>
      <c r="J238" s="3" t="s">
        <v>22</v>
      </c>
      <c r="K238" s="3" t="s">
        <v>23</v>
      </c>
      <c r="L238" s="3">
        <v>2</v>
      </c>
      <c r="M238" s="3">
        <v>6</v>
      </c>
      <c r="N238" s="4">
        <v>44482</v>
      </c>
      <c r="O238" s="54">
        <v>0.46875</v>
      </c>
      <c r="P238" s="5" t="b">
        <v>0</v>
      </c>
      <c r="Q238" s="7">
        <f>E238</f>
        <v>1093</v>
      </c>
      <c r="R238" s="7"/>
      <c r="S238" s="7"/>
      <c r="T238" s="7"/>
      <c r="U238" s="3"/>
      <c r="AA238" s="3"/>
      <c r="AB238" s="3"/>
      <c r="AC238" t="s">
        <v>894</v>
      </c>
      <c r="AD238" t="s">
        <v>894</v>
      </c>
      <c r="AE238" t="s">
        <v>894</v>
      </c>
      <c r="AF238" t="s">
        <v>895</v>
      </c>
    </row>
    <row r="239" spans="1:32" x14ac:dyDescent="0.35">
      <c r="A239" s="3" t="str">
        <f t="shared" si="3"/>
        <v>Sto_WW_HS</v>
      </c>
      <c r="B239" s="3">
        <v>17</v>
      </c>
      <c r="C239" s="3">
        <v>3</v>
      </c>
      <c r="D239" s="3" t="s">
        <v>117</v>
      </c>
      <c r="E239" s="3">
        <v>1093</v>
      </c>
      <c r="F239" s="3" t="s">
        <v>177</v>
      </c>
      <c r="G239" s="3" t="s">
        <v>121</v>
      </c>
      <c r="H239" s="3" t="s">
        <v>20</v>
      </c>
      <c r="I239" s="3" t="s">
        <v>21</v>
      </c>
      <c r="J239" s="3" t="s">
        <v>35</v>
      </c>
      <c r="K239" s="3" t="s">
        <v>23</v>
      </c>
      <c r="L239" s="3">
        <v>2</v>
      </c>
      <c r="M239" s="3">
        <v>6</v>
      </c>
      <c r="N239" s="4">
        <v>44482</v>
      </c>
      <c r="O239" s="54">
        <v>0.46875</v>
      </c>
      <c r="P239" s="5" t="b">
        <v>1</v>
      </c>
      <c r="Q239" s="7">
        <v>1094</v>
      </c>
      <c r="R239" s="7">
        <v>22</v>
      </c>
      <c r="S239" s="7"/>
      <c r="T239" s="7"/>
      <c r="U239" s="3"/>
      <c r="Z239" t="s">
        <v>302</v>
      </c>
      <c r="AA239" s="3"/>
      <c r="AB239" s="3" t="s">
        <v>325</v>
      </c>
      <c r="AC239" s="3"/>
      <c r="AD239" s="3"/>
      <c r="AE239" s="3"/>
    </row>
    <row r="240" spans="1:32" x14ac:dyDescent="0.35">
      <c r="A240" s="3" t="str">
        <f t="shared" si="3"/>
        <v>Wen_WS_HS</v>
      </c>
      <c r="B240" s="3">
        <v>18</v>
      </c>
      <c r="C240" s="3">
        <v>3</v>
      </c>
      <c r="D240" s="3" t="s">
        <v>117</v>
      </c>
      <c r="E240" s="3">
        <v>1095</v>
      </c>
      <c r="F240" s="3" t="s">
        <v>178</v>
      </c>
      <c r="G240" s="3" t="s">
        <v>121</v>
      </c>
      <c r="H240" s="3" t="s">
        <v>39</v>
      </c>
      <c r="I240" s="3" t="s">
        <v>25</v>
      </c>
      <c r="J240" s="3" t="s">
        <v>26</v>
      </c>
      <c r="K240" s="3" t="s">
        <v>27</v>
      </c>
      <c r="L240" s="3">
        <v>2</v>
      </c>
      <c r="M240" s="3">
        <v>3</v>
      </c>
      <c r="N240" s="4">
        <v>44482</v>
      </c>
      <c r="O240" s="4"/>
      <c r="P240" s="5" t="b">
        <v>0</v>
      </c>
      <c r="Q240" s="7">
        <f>E240</f>
        <v>1095</v>
      </c>
      <c r="R240" s="7"/>
      <c r="S240" s="7"/>
      <c r="T240" s="7" t="s">
        <v>302</v>
      </c>
      <c r="U240" s="3"/>
      <c r="AA240" s="3" t="s">
        <v>328</v>
      </c>
      <c r="AB240" s="3" t="s">
        <v>326</v>
      </c>
      <c r="AC240" s="3" t="s">
        <v>896</v>
      </c>
      <c r="AD240" s="3" t="s">
        <v>896</v>
      </c>
      <c r="AE240" s="3" t="s">
        <v>896</v>
      </c>
    </row>
    <row r="241" spans="1:32" x14ac:dyDescent="0.35">
      <c r="A241" s="3" t="str">
        <f t="shared" si="3"/>
        <v>Wen_WS_HS</v>
      </c>
      <c r="B241" s="3">
        <v>18</v>
      </c>
      <c r="C241" s="3">
        <v>3</v>
      </c>
      <c r="D241" s="3" t="s">
        <v>117</v>
      </c>
      <c r="E241" s="3">
        <v>1095</v>
      </c>
      <c r="F241" s="3" t="s">
        <v>178</v>
      </c>
      <c r="G241" s="3" t="s">
        <v>121</v>
      </c>
      <c r="H241" s="3" t="s">
        <v>39</v>
      </c>
      <c r="I241" s="3" t="s">
        <v>25</v>
      </c>
      <c r="J241" s="3" t="s">
        <v>28</v>
      </c>
      <c r="K241" s="3" t="s">
        <v>27</v>
      </c>
      <c r="L241" s="3">
        <v>2</v>
      </c>
      <c r="M241" s="3">
        <v>3</v>
      </c>
      <c r="N241" s="4">
        <v>44482</v>
      </c>
      <c r="O241" s="4"/>
      <c r="P241" s="5" t="b">
        <v>1</v>
      </c>
      <c r="Q241" s="7">
        <v>1096</v>
      </c>
      <c r="R241" s="7"/>
      <c r="S241" s="7"/>
      <c r="T241" s="7"/>
      <c r="U241" s="3"/>
      <c r="Z241" t="s">
        <v>302</v>
      </c>
      <c r="AA241" s="3"/>
      <c r="AB241" s="3"/>
      <c r="AC241" s="3"/>
      <c r="AD241" s="3"/>
      <c r="AE241" s="3"/>
    </row>
    <row r="242" spans="1:32" x14ac:dyDescent="0.35">
      <c r="A242" s="3" t="str">
        <f t="shared" si="3"/>
        <v>Wen_WW_HS</v>
      </c>
      <c r="B242" s="3">
        <v>19</v>
      </c>
      <c r="C242" s="3">
        <v>3</v>
      </c>
      <c r="D242" s="3" t="s">
        <v>117</v>
      </c>
      <c r="E242" s="3">
        <v>1097</v>
      </c>
      <c r="F242" s="3" t="s">
        <v>179</v>
      </c>
      <c r="G242" s="3" t="s">
        <v>121</v>
      </c>
      <c r="H242" s="3" t="s">
        <v>20</v>
      </c>
      <c r="I242" s="3" t="s">
        <v>25</v>
      </c>
      <c r="J242" s="3" t="s">
        <v>22</v>
      </c>
      <c r="K242" s="3" t="s">
        <v>23</v>
      </c>
      <c r="L242" s="3">
        <v>2</v>
      </c>
      <c r="M242" s="3">
        <v>6</v>
      </c>
      <c r="N242" s="4">
        <v>44483</v>
      </c>
      <c r="O242" s="54">
        <v>0.39583333333333331</v>
      </c>
      <c r="P242" s="5" t="b">
        <v>0</v>
      </c>
      <c r="Q242" s="7">
        <f>E242</f>
        <v>1097</v>
      </c>
      <c r="R242" s="7"/>
      <c r="S242" s="7"/>
      <c r="T242" s="7"/>
      <c r="U242" s="3"/>
      <c r="AA242" s="3"/>
      <c r="AB242" s="3"/>
      <c r="AC242" t="s">
        <v>894</v>
      </c>
      <c r="AD242" t="s">
        <v>894</v>
      </c>
      <c r="AE242" t="s">
        <v>894</v>
      </c>
      <c r="AF242" t="s">
        <v>895</v>
      </c>
    </row>
    <row r="243" spans="1:32" x14ac:dyDescent="0.35">
      <c r="A243" s="3" t="str">
        <f t="shared" si="3"/>
        <v>Wen_WW_HS</v>
      </c>
      <c r="B243" s="3">
        <v>19</v>
      </c>
      <c r="C243" s="3">
        <v>3</v>
      </c>
      <c r="D243" s="3" t="s">
        <v>117</v>
      </c>
      <c r="E243" s="3">
        <v>1097</v>
      </c>
      <c r="F243" s="3" t="s">
        <v>179</v>
      </c>
      <c r="G243" s="3" t="s">
        <v>121</v>
      </c>
      <c r="H243" s="3" t="s">
        <v>20</v>
      </c>
      <c r="I243" s="3" t="s">
        <v>25</v>
      </c>
      <c r="J243" s="3" t="s">
        <v>35</v>
      </c>
      <c r="K243" s="3" t="s">
        <v>23</v>
      </c>
      <c r="L243" s="3">
        <v>2</v>
      </c>
      <c r="M243" s="3">
        <v>6</v>
      </c>
      <c r="N243" s="4">
        <v>44483</v>
      </c>
      <c r="O243" s="54">
        <v>0.39583333333333331</v>
      </c>
      <c r="P243" s="5" t="b">
        <v>1</v>
      </c>
      <c r="Q243" s="7">
        <v>1098</v>
      </c>
      <c r="R243" s="7">
        <v>20</v>
      </c>
      <c r="S243" s="7"/>
      <c r="T243" s="7"/>
      <c r="U243" s="3"/>
      <c r="Z243" t="s">
        <v>302</v>
      </c>
      <c r="AA243" s="3"/>
      <c r="AB243" s="3" t="s">
        <v>325</v>
      </c>
      <c r="AC243" s="3"/>
      <c r="AD243" s="3"/>
      <c r="AE243" s="3"/>
    </row>
    <row r="244" spans="1:32" x14ac:dyDescent="0.35">
      <c r="A244" s="3" t="str">
        <f t="shared" si="3"/>
        <v>Wen_WS_HS</v>
      </c>
      <c r="B244" s="3">
        <v>20</v>
      </c>
      <c r="C244" s="3">
        <v>3</v>
      </c>
      <c r="D244" s="3" t="s">
        <v>117</v>
      </c>
      <c r="E244" s="3">
        <v>1099</v>
      </c>
      <c r="F244" s="3" t="s">
        <v>180</v>
      </c>
      <c r="G244" s="3" t="s">
        <v>121</v>
      </c>
      <c r="H244" s="3" t="s">
        <v>39</v>
      </c>
      <c r="I244" s="3" t="s">
        <v>25</v>
      </c>
      <c r="J244" s="3" t="s">
        <v>22</v>
      </c>
      <c r="K244" s="3" t="s">
        <v>23</v>
      </c>
      <c r="L244" s="3">
        <v>2</v>
      </c>
      <c r="M244" s="3">
        <v>6</v>
      </c>
      <c r="N244" s="4">
        <v>44482</v>
      </c>
      <c r="O244" s="54">
        <v>0.34375</v>
      </c>
      <c r="P244" s="5" t="b">
        <v>0</v>
      </c>
      <c r="Q244" s="7">
        <f>E244</f>
        <v>1099</v>
      </c>
      <c r="R244" s="7"/>
      <c r="S244" s="7"/>
      <c r="T244" s="7"/>
      <c r="U244" s="3"/>
      <c r="AA244" s="3"/>
      <c r="AB244" s="3"/>
      <c r="AC244" t="s">
        <v>894</v>
      </c>
      <c r="AD244" t="s">
        <v>894</v>
      </c>
      <c r="AE244" t="s">
        <v>894</v>
      </c>
      <c r="AF244" t="s">
        <v>895</v>
      </c>
    </row>
    <row r="245" spans="1:32" x14ac:dyDescent="0.35">
      <c r="A245" s="3" t="str">
        <f t="shared" si="3"/>
        <v>Wen_WS_HS</v>
      </c>
      <c r="B245" s="3">
        <v>20</v>
      </c>
      <c r="C245" s="3">
        <v>3</v>
      </c>
      <c r="D245" s="3" t="s">
        <v>117</v>
      </c>
      <c r="E245" s="3">
        <v>1099</v>
      </c>
      <c r="F245" s="3" t="s">
        <v>180</v>
      </c>
      <c r="G245" s="3" t="s">
        <v>121</v>
      </c>
      <c r="H245" s="3" t="s">
        <v>39</v>
      </c>
      <c r="I245" s="3" t="s">
        <v>25</v>
      </c>
      <c r="J245" s="3" t="s">
        <v>35</v>
      </c>
      <c r="K245" s="3" t="s">
        <v>23</v>
      </c>
      <c r="L245" s="3">
        <v>2</v>
      </c>
      <c r="M245" s="3">
        <v>6</v>
      </c>
      <c r="N245" s="4">
        <v>44482</v>
      </c>
      <c r="O245" s="54">
        <v>0.34375</v>
      </c>
      <c r="P245" s="5" t="b">
        <v>1</v>
      </c>
      <c r="Q245" s="7">
        <v>1100</v>
      </c>
      <c r="R245" s="7">
        <v>30</v>
      </c>
      <c r="S245" s="7"/>
      <c r="T245" s="7"/>
      <c r="U245" s="3"/>
      <c r="AA245" s="3" t="s">
        <v>210</v>
      </c>
      <c r="AB245" s="3" t="s">
        <v>325</v>
      </c>
      <c r="AC245" s="3"/>
      <c r="AD245" s="3"/>
      <c r="AE245" s="3"/>
    </row>
    <row r="246" spans="1:32" x14ac:dyDescent="0.35">
      <c r="A246" s="3" t="str">
        <f t="shared" si="3"/>
        <v>Sto_WW_HS</v>
      </c>
      <c r="B246" s="3">
        <v>21</v>
      </c>
      <c r="C246" s="3">
        <v>3</v>
      </c>
      <c r="D246" s="3" t="s">
        <v>117</v>
      </c>
      <c r="E246" s="3">
        <v>1101</v>
      </c>
      <c r="F246" s="3" t="s">
        <v>181</v>
      </c>
      <c r="G246" s="3" t="s">
        <v>121</v>
      </c>
      <c r="H246" s="3" t="s">
        <v>20</v>
      </c>
      <c r="I246" s="3" t="s">
        <v>21</v>
      </c>
      <c r="J246" s="3" t="s">
        <v>26</v>
      </c>
      <c r="K246" s="3" t="s">
        <v>27</v>
      </c>
      <c r="L246" s="3">
        <v>2</v>
      </c>
      <c r="M246" s="3"/>
      <c r="N246" s="4">
        <v>44482</v>
      </c>
      <c r="O246" s="4"/>
      <c r="P246" s="5" t="b">
        <v>0</v>
      </c>
      <c r="Q246" s="7">
        <f>E246</f>
        <v>1101</v>
      </c>
      <c r="R246" s="7"/>
      <c r="S246" s="7"/>
      <c r="T246" s="7" t="s">
        <v>302</v>
      </c>
      <c r="U246" s="3"/>
      <c r="AA246" s="3"/>
      <c r="AB246" s="3" t="s">
        <v>326</v>
      </c>
      <c r="AC246" s="3" t="s">
        <v>896</v>
      </c>
      <c r="AD246" s="3" t="s">
        <v>896</v>
      </c>
      <c r="AE246" s="3" t="s">
        <v>896</v>
      </c>
    </row>
    <row r="247" spans="1:32" x14ac:dyDescent="0.35">
      <c r="A247" s="3" t="str">
        <f t="shared" si="3"/>
        <v>Sto_WW_HS</v>
      </c>
      <c r="B247" s="3">
        <v>21</v>
      </c>
      <c r="C247" s="3">
        <v>3</v>
      </c>
      <c r="D247" s="3" t="s">
        <v>117</v>
      </c>
      <c r="E247" s="3">
        <v>1101</v>
      </c>
      <c r="F247" s="3" t="s">
        <v>181</v>
      </c>
      <c r="G247" s="3" t="s">
        <v>121</v>
      </c>
      <c r="H247" s="3" t="s">
        <v>20</v>
      </c>
      <c r="I247" s="3" t="s">
        <v>21</v>
      </c>
      <c r="J247" s="3" t="s">
        <v>28</v>
      </c>
      <c r="K247" s="3" t="s">
        <v>27</v>
      </c>
      <c r="L247" s="3">
        <v>2</v>
      </c>
      <c r="M247" s="3"/>
      <c r="N247" s="4">
        <v>44482</v>
      </c>
      <c r="O247" s="4"/>
      <c r="P247" s="5" t="b">
        <v>1</v>
      </c>
      <c r="Q247" s="7">
        <v>1102</v>
      </c>
      <c r="R247" s="7"/>
      <c r="S247" s="7"/>
      <c r="T247" s="7"/>
      <c r="U247" s="3"/>
      <c r="Z247" t="s">
        <v>302</v>
      </c>
      <c r="AA247" s="3"/>
      <c r="AB247" s="3"/>
      <c r="AC247" s="3"/>
      <c r="AD247" s="3"/>
      <c r="AE247" s="3"/>
    </row>
    <row r="248" spans="1:32" x14ac:dyDescent="0.35">
      <c r="A248" s="3" t="str">
        <f t="shared" si="3"/>
        <v>Wen_WS_HS</v>
      </c>
      <c r="B248" s="3">
        <v>1</v>
      </c>
      <c r="C248" s="3">
        <v>2</v>
      </c>
      <c r="D248" s="3" t="s">
        <v>117</v>
      </c>
      <c r="E248" s="3">
        <v>1103</v>
      </c>
      <c r="F248" s="3" t="s">
        <v>182</v>
      </c>
      <c r="G248" s="3" t="s">
        <v>121</v>
      </c>
      <c r="H248" s="3" t="s">
        <v>39</v>
      </c>
      <c r="I248" s="3" t="s">
        <v>25</v>
      </c>
      <c r="J248" s="3" t="s">
        <v>22</v>
      </c>
      <c r="K248" s="3" t="s">
        <v>23</v>
      </c>
      <c r="L248" s="3">
        <v>2</v>
      </c>
      <c r="M248" s="3">
        <v>7</v>
      </c>
      <c r="N248" s="4">
        <v>44483</v>
      </c>
      <c r="O248" s="54">
        <v>0.39583333333333331</v>
      </c>
      <c r="P248" s="5" t="b">
        <v>0</v>
      </c>
      <c r="Q248" s="7">
        <f>E248</f>
        <v>1103</v>
      </c>
      <c r="R248" s="7"/>
      <c r="S248" s="7"/>
      <c r="T248" s="7"/>
      <c r="U248" s="3"/>
      <c r="AA248" s="3"/>
      <c r="AB248" s="3"/>
      <c r="AC248" t="s">
        <v>894</v>
      </c>
      <c r="AD248" t="s">
        <v>894</v>
      </c>
      <c r="AE248" t="s">
        <v>894</v>
      </c>
      <c r="AF248" t="s">
        <v>895</v>
      </c>
    </row>
    <row r="249" spans="1:32" x14ac:dyDescent="0.35">
      <c r="A249" s="3" t="str">
        <f t="shared" si="3"/>
        <v>Wen_WS_HS</v>
      </c>
      <c r="B249" s="3">
        <v>1</v>
      </c>
      <c r="C249" s="3">
        <v>2</v>
      </c>
      <c r="D249" s="3" t="s">
        <v>117</v>
      </c>
      <c r="E249" s="3">
        <v>1103</v>
      </c>
      <c r="F249" s="3" t="s">
        <v>182</v>
      </c>
      <c r="G249" s="3" t="s">
        <v>121</v>
      </c>
      <c r="H249" s="3" t="s">
        <v>39</v>
      </c>
      <c r="I249" s="3" t="s">
        <v>25</v>
      </c>
      <c r="J249" s="3" t="s">
        <v>35</v>
      </c>
      <c r="K249" s="3" t="s">
        <v>23</v>
      </c>
      <c r="L249" s="3">
        <v>2</v>
      </c>
      <c r="M249" s="3">
        <v>7</v>
      </c>
      <c r="N249" s="4">
        <v>44483</v>
      </c>
      <c r="O249" s="54">
        <v>0.39583333333333331</v>
      </c>
      <c r="P249" s="5" t="b">
        <v>1</v>
      </c>
      <c r="Q249" s="7">
        <v>1104</v>
      </c>
      <c r="R249" s="7">
        <v>31</v>
      </c>
      <c r="S249" s="7"/>
      <c r="T249" s="7"/>
      <c r="U249" s="3"/>
      <c r="AA249" s="3"/>
      <c r="AB249" s="3" t="s">
        <v>325</v>
      </c>
      <c r="AC249" s="3"/>
      <c r="AD249" s="3"/>
      <c r="AE249" s="3"/>
    </row>
    <row r="250" spans="1:32" x14ac:dyDescent="0.35">
      <c r="A250" s="3" t="str">
        <f t="shared" si="3"/>
        <v>Sto_WS_HS</v>
      </c>
      <c r="B250" s="3">
        <v>2</v>
      </c>
      <c r="C250" s="3">
        <v>2</v>
      </c>
      <c r="D250" s="3" t="s">
        <v>117</v>
      </c>
      <c r="E250" s="3">
        <v>1105</v>
      </c>
      <c r="F250" s="3" t="s">
        <v>183</v>
      </c>
      <c r="G250" s="3" t="s">
        <v>121</v>
      </c>
      <c r="H250" s="3" t="s">
        <v>39</v>
      </c>
      <c r="I250" s="3" t="s">
        <v>21</v>
      </c>
      <c r="J250" s="3" t="s">
        <v>22</v>
      </c>
      <c r="K250" s="3" t="s">
        <v>23</v>
      </c>
      <c r="L250" s="3">
        <v>2</v>
      </c>
      <c r="M250" s="3">
        <v>7</v>
      </c>
      <c r="N250" s="4">
        <v>44483</v>
      </c>
      <c r="O250" s="54">
        <v>0.39583333333333331</v>
      </c>
      <c r="P250" s="5" t="b">
        <v>0</v>
      </c>
      <c r="Q250" s="7">
        <f>E250</f>
        <v>1105</v>
      </c>
      <c r="R250" s="7"/>
      <c r="S250" s="7"/>
      <c r="T250" s="7"/>
      <c r="U250" s="3"/>
      <c r="AA250" s="3"/>
      <c r="AB250" s="3"/>
      <c r="AC250" t="s">
        <v>894</v>
      </c>
      <c r="AD250" t="s">
        <v>894</v>
      </c>
      <c r="AE250" t="s">
        <v>894</v>
      </c>
      <c r="AF250" t="s">
        <v>895</v>
      </c>
    </row>
    <row r="251" spans="1:32" x14ac:dyDescent="0.35">
      <c r="A251" s="3" t="str">
        <f t="shared" si="3"/>
        <v>Sto_WS_HS</v>
      </c>
      <c r="B251" s="3">
        <v>2</v>
      </c>
      <c r="C251" s="3">
        <v>2</v>
      </c>
      <c r="D251" s="3" t="s">
        <v>117</v>
      </c>
      <c r="E251" s="3">
        <v>1105</v>
      </c>
      <c r="F251" s="3" t="s">
        <v>183</v>
      </c>
      <c r="G251" s="3" t="s">
        <v>121</v>
      </c>
      <c r="H251" s="3" t="s">
        <v>39</v>
      </c>
      <c r="I251" s="3" t="s">
        <v>21</v>
      </c>
      <c r="J251" s="3" t="s">
        <v>35</v>
      </c>
      <c r="K251" s="3" t="s">
        <v>23</v>
      </c>
      <c r="L251" s="3">
        <v>2</v>
      </c>
      <c r="M251" s="3">
        <v>7</v>
      </c>
      <c r="N251" s="4">
        <v>44483</v>
      </c>
      <c r="O251" s="54">
        <v>0.39583333333333331</v>
      </c>
      <c r="P251" s="5" t="b">
        <v>1</v>
      </c>
      <c r="Q251" s="7">
        <v>1106</v>
      </c>
      <c r="R251" s="7">
        <v>27</v>
      </c>
      <c r="S251" s="7"/>
      <c r="T251" s="7"/>
      <c r="U251" s="3"/>
      <c r="Z251" t="s">
        <v>302</v>
      </c>
      <c r="AA251" s="3"/>
      <c r="AB251" s="3" t="s">
        <v>325</v>
      </c>
      <c r="AC251" s="3"/>
      <c r="AD251" s="3"/>
      <c r="AE251" s="3"/>
    </row>
    <row r="252" spans="1:32" x14ac:dyDescent="0.35">
      <c r="A252" s="3" t="str">
        <f t="shared" si="3"/>
        <v>Sto_WS_HS</v>
      </c>
      <c r="B252" s="3">
        <v>3</v>
      </c>
      <c r="C252" s="3">
        <v>2</v>
      </c>
      <c r="D252" s="3" t="s">
        <v>117</v>
      </c>
      <c r="E252" s="3">
        <v>1107</v>
      </c>
      <c r="F252" s="3" t="s">
        <v>184</v>
      </c>
      <c r="G252" s="3" t="s">
        <v>121</v>
      </c>
      <c r="H252" s="3" t="s">
        <v>39</v>
      </c>
      <c r="I252" s="3" t="s">
        <v>21</v>
      </c>
      <c r="J252" s="3" t="s">
        <v>28</v>
      </c>
      <c r="K252" s="3" t="s">
        <v>27</v>
      </c>
      <c r="L252" s="3">
        <v>2</v>
      </c>
      <c r="M252" s="3">
        <v>4</v>
      </c>
      <c r="N252" s="4">
        <v>44483</v>
      </c>
      <c r="O252" s="54">
        <v>0.39583333333333331</v>
      </c>
      <c r="P252" s="5" t="b">
        <v>0</v>
      </c>
      <c r="Q252" s="7">
        <f>E252</f>
        <v>1107</v>
      </c>
      <c r="R252" s="7"/>
      <c r="S252" s="7"/>
      <c r="T252" s="7"/>
      <c r="U252" s="3" t="s">
        <v>185</v>
      </c>
      <c r="Z252" t="s">
        <v>302</v>
      </c>
      <c r="AA252" s="3" t="s">
        <v>347</v>
      </c>
      <c r="AB252" s="3"/>
      <c r="AC252" s="3"/>
      <c r="AD252" s="3"/>
      <c r="AE252" s="3"/>
    </row>
    <row r="253" spans="1:32" x14ac:dyDescent="0.35">
      <c r="A253" s="3" t="str">
        <f t="shared" si="3"/>
        <v>Sto_WS_HS</v>
      </c>
      <c r="B253" s="3">
        <v>3</v>
      </c>
      <c r="C253" s="3">
        <v>2</v>
      </c>
      <c r="D253" s="3" t="s">
        <v>117</v>
      </c>
      <c r="E253" s="3">
        <v>1107</v>
      </c>
      <c r="F253" s="3" t="s">
        <v>184</v>
      </c>
      <c r="G253" s="3" t="s">
        <v>121</v>
      </c>
      <c r="H253" s="3" t="s">
        <v>39</v>
      </c>
      <c r="I253" s="3" t="s">
        <v>21</v>
      </c>
      <c r="J253" s="3" t="s">
        <v>28</v>
      </c>
      <c r="K253" s="3" t="s">
        <v>27</v>
      </c>
      <c r="L253" s="3">
        <v>2</v>
      </c>
      <c r="M253" s="3">
        <v>4</v>
      </c>
      <c r="N253" s="4">
        <v>44483</v>
      </c>
      <c r="O253" s="54">
        <v>0.39583333333333331</v>
      </c>
      <c r="P253" s="5" t="b">
        <v>1</v>
      </c>
      <c r="Q253" s="7">
        <v>1108</v>
      </c>
      <c r="R253" s="7"/>
      <c r="S253" s="7"/>
      <c r="T253" s="7"/>
      <c r="U253" s="3" t="s">
        <v>186</v>
      </c>
      <c r="Z253" t="s">
        <v>302</v>
      </c>
      <c r="AA253" s="3" t="s">
        <v>349</v>
      </c>
      <c r="AB253" s="3"/>
      <c r="AC253" s="3"/>
      <c r="AD253" s="3"/>
      <c r="AE253" s="3"/>
    </row>
    <row r="254" spans="1:32" x14ac:dyDescent="0.35">
      <c r="A254" s="3" t="str">
        <f t="shared" si="3"/>
        <v>Sto_WW_HS</v>
      </c>
      <c r="B254" s="3">
        <v>4</v>
      </c>
      <c r="C254" s="3">
        <v>2</v>
      </c>
      <c r="D254" s="3" t="s">
        <v>117</v>
      </c>
      <c r="E254" s="3">
        <v>1109</v>
      </c>
      <c r="F254" s="3" t="s">
        <v>187</v>
      </c>
      <c r="G254" s="3" t="s">
        <v>121</v>
      </c>
      <c r="H254" s="3" t="s">
        <v>20</v>
      </c>
      <c r="I254" s="3" t="s">
        <v>21</v>
      </c>
      <c r="J254" s="3" t="s">
        <v>22</v>
      </c>
      <c r="K254" s="3" t="s">
        <v>23</v>
      </c>
      <c r="L254" s="3">
        <v>2</v>
      </c>
      <c r="M254" s="3">
        <v>7</v>
      </c>
      <c r="N254" s="4">
        <v>44483</v>
      </c>
      <c r="O254" s="54">
        <v>0.39583333333333331</v>
      </c>
      <c r="P254" s="5" t="b">
        <v>0</v>
      </c>
      <c r="Q254" s="7">
        <f>E254</f>
        <v>1109</v>
      </c>
      <c r="R254" s="7"/>
      <c r="S254" s="7"/>
      <c r="T254" s="7"/>
      <c r="U254" s="3"/>
      <c r="AA254" s="3"/>
      <c r="AB254" s="3"/>
      <c r="AC254" t="s">
        <v>894</v>
      </c>
      <c r="AD254" t="s">
        <v>894</v>
      </c>
      <c r="AE254" t="s">
        <v>894</v>
      </c>
      <c r="AF254" t="s">
        <v>895</v>
      </c>
    </row>
    <row r="255" spans="1:32" x14ac:dyDescent="0.35">
      <c r="A255" s="3" t="str">
        <f t="shared" si="3"/>
        <v>Sto_WW_HS</v>
      </c>
      <c r="B255" s="3">
        <v>4</v>
      </c>
      <c r="C255" s="3">
        <v>2</v>
      </c>
      <c r="D255" s="3" t="s">
        <v>117</v>
      </c>
      <c r="E255" s="3">
        <v>1109</v>
      </c>
      <c r="F255" s="3" t="s">
        <v>187</v>
      </c>
      <c r="G255" s="3" t="s">
        <v>121</v>
      </c>
      <c r="H255" s="3" t="s">
        <v>20</v>
      </c>
      <c r="I255" s="3" t="s">
        <v>21</v>
      </c>
      <c r="J255" s="3" t="s">
        <v>35</v>
      </c>
      <c r="K255" s="3" t="s">
        <v>23</v>
      </c>
      <c r="L255" s="3">
        <v>2</v>
      </c>
      <c r="M255" s="3">
        <v>7</v>
      </c>
      <c r="N255" s="4">
        <v>44483</v>
      </c>
      <c r="O255" s="54">
        <v>0.39583333333333331</v>
      </c>
      <c r="P255" s="5" t="b">
        <v>1</v>
      </c>
      <c r="Q255" s="7">
        <v>1110</v>
      </c>
      <c r="R255" s="7">
        <v>23</v>
      </c>
      <c r="S255" s="7"/>
      <c r="T255" s="7"/>
      <c r="U255" s="3"/>
      <c r="AA255" s="3"/>
      <c r="AB255" s="3" t="s">
        <v>325</v>
      </c>
      <c r="AC255" s="3"/>
      <c r="AD255" s="3"/>
      <c r="AE255" s="3"/>
    </row>
    <row r="256" spans="1:32" x14ac:dyDescent="0.35">
      <c r="A256" s="3" t="str">
        <f t="shared" si="3"/>
        <v>Wen_WW_HS</v>
      </c>
      <c r="B256" s="3">
        <v>5</v>
      </c>
      <c r="C256" s="3">
        <v>2</v>
      </c>
      <c r="D256" s="3" t="s">
        <v>117</v>
      </c>
      <c r="E256" s="3">
        <v>1111</v>
      </c>
      <c r="F256" s="3" t="s">
        <v>188</v>
      </c>
      <c r="G256" s="3" t="s">
        <v>121</v>
      </c>
      <c r="H256" s="3" t="s">
        <v>20</v>
      </c>
      <c r="I256" s="3" t="s">
        <v>25</v>
      </c>
      <c r="J256" s="3" t="s">
        <v>22</v>
      </c>
      <c r="K256" s="3" t="s">
        <v>23</v>
      </c>
      <c r="L256" s="3">
        <v>2</v>
      </c>
      <c r="M256" s="3">
        <v>7</v>
      </c>
      <c r="N256" s="4">
        <v>44483</v>
      </c>
      <c r="O256" s="54">
        <v>0.39583333333333331</v>
      </c>
      <c r="P256" s="5" t="b">
        <v>0</v>
      </c>
      <c r="Q256" s="7">
        <f>E256</f>
        <v>1111</v>
      </c>
      <c r="R256" s="7"/>
      <c r="S256" s="7"/>
      <c r="T256" s="7"/>
      <c r="U256" s="3"/>
      <c r="Y256" t="s">
        <v>302</v>
      </c>
      <c r="AA256" s="3"/>
      <c r="AB256" s="3"/>
      <c r="AC256" t="s">
        <v>894</v>
      </c>
      <c r="AD256" t="s">
        <v>894</v>
      </c>
      <c r="AE256" t="s">
        <v>894</v>
      </c>
      <c r="AF256" t="s">
        <v>895</v>
      </c>
    </row>
    <row r="257" spans="1:32" x14ac:dyDescent="0.35">
      <c r="A257" s="3" t="str">
        <f t="shared" si="3"/>
        <v>Wen_WW_HS</v>
      </c>
      <c r="B257" s="3">
        <v>5</v>
      </c>
      <c r="C257" s="3">
        <v>2</v>
      </c>
      <c r="D257" s="3" t="s">
        <v>117</v>
      </c>
      <c r="E257" s="3">
        <v>1111</v>
      </c>
      <c r="F257" s="3" t="s">
        <v>188</v>
      </c>
      <c r="G257" s="3" t="s">
        <v>121</v>
      </c>
      <c r="H257" s="3" t="s">
        <v>20</v>
      </c>
      <c r="I257" s="3" t="s">
        <v>25</v>
      </c>
      <c r="J257" s="3" t="s">
        <v>35</v>
      </c>
      <c r="K257" s="3" t="s">
        <v>23</v>
      </c>
      <c r="L257" s="3">
        <v>2</v>
      </c>
      <c r="M257" s="3">
        <v>7</v>
      </c>
      <c r="N257" s="4">
        <v>44483</v>
      </c>
      <c r="O257" s="54">
        <v>0.39583333333333331</v>
      </c>
      <c r="P257" s="5" t="b">
        <v>1</v>
      </c>
      <c r="Q257" s="7">
        <v>1112</v>
      </c>
      <c r="R257" s="7">
        <v>18</v>
      </c>
      <c r="S257" s="7"/>
      <c r="T257" s="7"/>
      <c r="U257" s="3"/>
      <c r="AA257" s="3"/>
      <c r="AB257" s="3" t="s">
        <v>325</v>
      </c>
      <c r="AC257" s="3"/>
      <c r="AD257" s="3"/>
      <c r="AE257" s="3"/>
    </row>
    <row r="258" spans="1:32" x14ac:dyDescent="0.35">
      <c r="A258" s="3" t="str">
        <f t="shared" si="3"/>
        <v>Wen_WS_HS</v>
      </c>
      <c r="B258" s="3">
        <v>6</v>
      </c>
      <c r="C258" s="3">
        <v>2</v>
      </c>
      <c r="D258" s="3" t="s">
        <v>117</v>
      </c>
      <c r="E258" s="3">
        <v>1113</v>
      </c>
      <c r="F258" s="3" t="s">
        <v>189</v>
      </c>
      <c r="G258" s="3" t="s">
        <v>121</v>
      </c>
      <c r="H258" s="3" t="s">
        <v>39</v>
      </c>
      <c r="I258" s="3" t="s">
        <v>25</v>
      </c>
      <c r="J258" s="3" t="s">
        <v>26</v>
      </c>
      <c r="K258" s="3" t="s">
        <v>27</v>
      </c>
      <c r="L258" s="3">
        <v>2</v>
      </c>
      <c r="M258" s="3">
        <v>4</v>
      </c>
      <c r="N258" s="4">
        <v>44482</v>
      </c>
      <c r="O258" s="4"/>
      <c r="P258" s="5" t="b">
        <v>0</v>
      </c>
      <c r="Q258" s="7">
        <f>E258</f>
        <v>1113</v>
      </c>
      <c r="R258" s="7"/>
      <c r="S258" s="7"/>
      <c r="T258" s="7" t="s">
        <v>302</v>
      </c>
      <c r="U258" s="3"/>
      <c r="AA258" s="3" t="s">
        <v>335</v>
      </c>
      <c r="AB258" s="3" t="s">
        <v>326</v>
      </c>
      <c r="AC258" s="3" t="s">
        <v>896</v>
      </c>
      <c r="AD258" s="3" t="s">
        <v>896</v>
      </c>
      <c r="AE258" s="3" t="s">
        <v>896</v>
      </c>
    </row>
    <row r="259" spans="1:32" x14ac:dyDescent="0.35">
      <c r="A259" s="3" t="str">
        <f t="shared" ref="A259:A289" si="4">LEFT(I259,3)&amp;"_"&amp;H259&amp;"_"&amp;G259</f>
        <v>Wen_WS_HS</v>
      </c>
      <c r="B259" s="3">
        <v>6</v>
      </c>
      <c r="C259" s="3">
        <v>2</v>
      </c>
      <c r="D259" s="3" t="s">
        <v>117</v>
      </c>
      <c r="E259" s="3">
        <v>1113</v>
      </c>
      <c r="F259" s="3" t="s">
        <v>189</v>
      </c>
      <c r="G259" s="3" t="s">
        <v>121</v>
      </c>
      <c r="H259" s="3" t="s">
        <v>39</v>
      </c>
      <c r="I259" s="3" t="s">
        <v>25</v>
      </c>
      <c r="J259" s="3" t="s">
        <v>28</v>
      </c>
      <c r="K259" s="3" t="s">
        <v>27</v>
      </c>
      <c r="L259" s="3">
        <v>2</v>
      </c>
      <c r="M259" s="3">
        <v>4</v>
      </c>
      <c r="N259" s="4">
        <v>44482</v>
      </c>
      <c r="O259" s="4"/>
      <c r="P259" s="5" t="b">
        <v>1</v>
      </c>
      <c r="Q259" s="7">
        <v>1114</v>
      </c>
      <c r="R259" s="7"/>
      <c r="S259" s="7"/>
      <c r="T259" s="7"/>
      <c r="U259" s="3"/>
      <c r="Z259" t="s">
        <v>302</v>
      </c>
      <c r="AA259" s="3"/>
      <c r="AB259" s="3"/>
      <c r="AC259" s="3"/>
      <c r="AD259" s="3"/>
      <c r="AE259" s="3"/>
    </row>
    <row r="260" spans="1:32" x14ac:dyDescent="0.35">
      <c r="A260" s="3" t="str">
        <f t="shared" si="4"/>
        <v>Wen_WS_HS</v>
      </c>
      <c r="B260" s="3">
        <v>7</v>
      </c>
      <c r="C260" s="3">
        <v>2</v>
      </c>
      <c r="D260" s="3" t="s">
        <v>117</v>
      </c>
      <c r="E260" s="3">
        <v>1115</v>
      </c>
      <c r="F260" s="3" t="s">
        <v>190</v>
      </c>
      <c r="G260" s="3" t="s">
        <v>121</v>
      </c>
      <c r="H260" s="3" t="s">
        <v>39</v>
      </c>
      <c r="I260" s="3" t="s">
        <v>25</v>
      </c>
      <c r="J260" s="3" t="s">
        <v>22</v>
      </c>
      <c r="K260" s="3" t="s">
        <v>23</v>
      </c>
      <c r="L260" s="3">
        <v>2</v>
      </c>
      <c r="M260" s="3">
        <v>8</v>
      </c>
      <c r="N260" s="4">
        <v>44483</v>
      </c>
      <c r="O260" s="54">
        <v>0.5</v>
      </c>
      <c r="P260" s="5" t="b">
        <v>0</v>
      </c>
      <c r="Q260" s="7">
        <f>E260</f>
        <v>1115</v>
      </c>
      <c r="R260" s="7"/>
      <c r="S260" s="7"/>
      <c r="T260" s="7"/>
      <c r="U260" s="3"/>
      <c r="Y260" t="s">
        <v>302</v>
      </c>
      <c r="AA260" s="3" t="s">
        <v>319</v>
      </c>
      <c r="AB260" s="3"/>
      <c r="AC260" t="s">
        <v>894</v>
      </c>
      <c r="AD260" t="s">
        <v>894</v>
      </c>
      <c r="AE260" t="s">
        <v>894</v>
      </c>
      <c r="AF260" t="s">
        <v>895</v>
      </c>
    </row>
    <row r="261" spans="1:32" x14ac:dyDescent="0.35">
      <c r="A261" s="3" t="str">
        <f t="shared" si="4"/>
        <v>Wen_WS_HS</v>
      </c>
      <c r="B261" s="3">
        <v>7</v>
      </c>
      <c r="C261" s="3">
        <v>2</v>
      </c>
      <c r="D261" s="3" t="s">
        <v>117</v>
      </c>
      <c r="E261" s="3">
        <v>1115</v>
      </c>
      <c r="F261" s="3" t="s">
        <v>190</v>
      </c>
      <c r="G261" s="3" t="s">
        <v>121</v>
      </c>
      <c r="H261" s="3" t="s">
        <v>39</v>
      </c>
      <c r="I261" s="3" t="s">
        <v>25</v>
      </c>
      <c r="J261" s="3"/>
      <c r="K261" s="3"/>
      <c r="L261" s="3"/>
      <c r="M261" s="3"/>
      <c r="N261" s="4">
        <v>44483</v>
      </c>
      <c r="O261" s="54">
        <v>0.5</v>
      </c>
      <c r="P261" s="5" t="b">
        <v>1</v>
      </c>
      <c r="Q261" s="7">
        <v>1116</v>
      </c>
      <c r="R261" s="7"/>
      <c r="S261" s="7"/>
      <c r="T261" s="7"/>
      <c r="U261" s="3"/>
      <c r="AA261" s="3" t="s">
        <v>224</v>
      </c>
      <c r="AB261" s="3"/>
      <c r="AC261" s="3"/>
      <c r="AD261" s="3"/>
      <c r="AE261" s="3"/>
    </row>
    <row r="262" spans="1:32" x14ac:dyDescent="0.35">
      <c r="A262" s="3" t="str">
        <f t="shared" si="4"/>
        <v>Wen_WW_HS</v>
      </c>
      <c r="B262" s="3">
        <v>8</v>
      </c>
      <c r="C262" s="3">
        <v>2</v>
      </c>
      <c r="D262" s="3" t="s">
        <v>117</v>
      </c>
      <c r="E262" s="3">
        <v>1117</v>
      </c>
      <c r="F262" s="3" t="s">
        <v>191</v>
      </c>
      <c r="G262" s="3" t="s">
        <v>121</v>
      </c>
      <c r="H262" s="3" t="s">
        <v>20</v>
      </c>
      <c r="I262" s="3" t="s">
        <v>25</v>
      </c>
      <c r="J262" s="3" t="s">
        <v>26</v>
      </c>
      <c r="K262" s="3" t="s">
        <v>27</v>
      </c>
      <c r="L262" s="3">
        <v>2</v>
      </c>
      <c r="M262" s="3">
        <v>4</v>
      </c>
      <c r="N262" s="4">
        <v>44482</v>
      </c>
      <c r="O262" s="4"/>
      <c r="P262" s="5" t="b">
        <v>0</v>
      </c>
      <c r="Q262" s="7">
        <f>E262</f>
        <v>1117</v>
      </c>
      <c r="R262" s="7"/>
      <c r="S262" s="7"/>
      <c r="T262" s="7" t="s">
        <v>302</v>
      </c>
      <c r="U262" s="3"/>
      <c r="AA262" s="3"/>
      <c r="AB262" s="3" t="s">
        <v>326</v>
      </c>
      <c r="AC262" s="3" t="s">
        <v>896</v>
      </c>
      <c r="AD262" s="3" t="s">
        <v>896</v>
      </c>
      <c r="AE262" s="3" t="s">
        <v>896</v>
      </c>
    </row>
    <row r="263" spans="1:32" x14ac:dyDescent="0.35">
      <c r="A263" s="3" t="str">
        <f t="shared" si="4"/>
        <v>Wen_WW_HS</v>
      </c>
      <c r="B263" s="3">
        <v>8</v>
      </c>
      <c r="C263" s="3">
        <v>2</v>
      </c>
      <c r="D263" s="3" t="s">
        <v>117</v>
      </c>
      <c r="E263" s="3">
        <v>1117</v>
      </c>
      <c r="F263" s="3" t="s">
        <v>191</v>
      </c>
      <c r="G263" s="3" t="s">
        <v>121</v>
      </c>
      <c r="H263" s="3" t="s">
        <v>20</v>
      </c>
      <c r="I263" s="3" t="s">
        <v>25</v>
      </c>
      <c r="J263" s="3" t="s">
        <v>28</v>
      </c>
      <c r="K263" s="3" t="s">
        <v>27</v>
      </c>
      <c r="L263" s="3">
        <v>2</v>
      </c>
      <c r="M263" s="3">
        <v>4</v>
      </c>
      <c r="N263" s="4">
        <v>44482</v>
      </c>
      <c r="O263" s="4"/>
      <c r="P263" s="5" t="b">
        <v>1</v>
      </c>
      <c r="Q263" s="7">
        <v>1118</v>
      </c>
      <c r="R263" s="7"/>
      <c r="S263" s="7"/>
      <c r="T263" s="7"/>
      <c r="U263" s="3"/>
      <c r="W263" t="s">
        <v>302</v>
      </c>
      <c r="Z263" t="s">
        <v>302</v>
      </c>
      <c r="AA263" s="3" t="s">
        <v>226</v>
      </c>
      <c r="AB263" s="3"/>
      <c r="AC263" s="3"/>
      <c r="AD263" s="3"/>
      <c r="AE263" s="3"/>
    </row>
    <row r="264" spans="1:32" x14ac:dyDescent="0.35">
      <c r="A264" s="3" t="str">
        <f t="shared" si="4"/>
        <v>Sto_WS_HS</v>
      </c>
      <c r="B264" s="3">
        <v>9</v>
      </c>
      <c r="C264" s="3">
        <v>2</v>
      </c>
      <c r="D264" s="3" t="s">
        <v>117</v>
      </c>
      <c r="E264" s="3">
        <v>1119</v>
      </c>
      <c r="F264" s="3" t="s">
        <v>192</v>
      </c>
      <c r="G264" s="3" t="s">
        <v>121</v>
      </c>
      <c r="H264" s="3" t="s">
        <v>39</v>
      </c>
      <c r="I264" s="3" t="s">
        <v>21</v>
      </c>
      <c r="J264" s="3" t="s">
        <v>22</v>
      </c>
      <c r="K264" s="3" t="s">
        <v>23</v>
      </c>
      <c r="L264" s="3">
        <v>2</v>
      </c>
      <c r="M264" s="3">
        <v>8</v>
      </c>
      <c r="N264" s="4">
        <v>44483</v>
      </c>
      <c r="O264" s="54">
        <v>0.5</v>
      </c>
      <c r="P264" s="5" t="b">
        <v>0</v>
      </c>
      <c r="Q264" s="7">
        <f>E264</f>
        <v>1119</v>
      </c>
      <c r="R264" s="7"/>
      <c r="S264" s="7"/>
      <c r="T264" s="7"/>
      <c r="U264" s="3"/>
      <c r="AA264" s="3"/>
      <c r="AB264" s="3"/>
      <c r="AC264" t="s">
        <v>894</v>
      </c>
      <c r="AD264" t="s">
        <v>894</v>
      </c>
      <c r="AE264" t="s">
        <v>894</v>
      </c>
      <c r="AF264" t="s">
        <v>895</v>
      </c>
    </row>
    <row r="265" spans="1:32" x14ac:dyDescent="0.35">
      <c r="A265" s="3" t="str">
        <f t="shared" si="4"/>
        <v>Sto_WS_HS</v>
      </c>
      <c r="B265" s="3">
        <v>9</v>
      </c>
      <c r="C265" s="3">
        <v>2</v>
      </c>
      <c r="D265" s="3" t="s">
        <v>117</v>
      </c>
      <c r="E265" s="3">
        <v>1119</v>
      </c>
      <c r="F265" s="3" t="s">
        <v>192</v>
      </c>
      <c r="G265" s="3" t="s">
        <v>121</v>
      </c>
      <c r="H265" s="3" t="s">
        <v>39</v>
      </c>
      <c r="I265" s="3" t="s">
        <v>21</v>
      </c>
      <c r="J265" s="3" t="s">
        <v>35</v>
      </c>
      <c r="K265" s="3" t="s">
        <v>23</v>
      </c>
      <c r="L265" s="3">
        <v>2</v>
      </c>
      <c r="M265" s="3">
        <v>8</v>
      </c>
      <c r="N265" s="4">
        <v>44483</v>
      </c>
      <c r="O265" s="54">
        <v>0.5</v>
      </c>
      <c r="P265" s="5" t="b">
        <v>1</v>
      </c>
      <c r="Q265" s="7">
        <v>1120</v>
      </c>
      <c r="R265" s="7">
        <v>25</v>
      </c>
      <c r="S265" s="7"/>
      <c r="T265" s="7"/>
      <c r="U265" s="3"/>
      <c r="Z265" t="s">
        <v>302</v>
      </c>
      <c r="AA265" s="3"/>
      <c r="AB265" s="3" t="s">
        <v>325</v>
      </c>
      <c r="AC265" s="3"/>
      <c r="AD265" s="3"/>
      <c r="AE265" s="3"/>
    </row>
    <row r="266" spans="1:32" x14ac:dyDescent="0.35">
      <c r="A266" s="3" t="str">
        <f t="shared" si="4"/>
        <v>Sto_WW_HS</v>
      </c>
      <c r="B266" s="3">
        <v>10</v>
      </c>
      <c r="C266" s="3">
        <v>2</v>
      </c>
      <c r="D266" s="3" t="s">
        <v>117</v>
      </c>
      <c r="E266" s="3">
        <v>1121</v>
      </c>
      <c r="F266" s="3" t="s">
        <v>193</v>
      </c>
      <c r="G266" s="3" t="s">
        <v>121</v>
      </c>
      <c r="H266" s="3" t="s">
        <v>20</v>
      </c>
      <c r="I266" s="3" t="s">
        <v>21</v>
      </c>
      <c r="J266" s="3" t="s">
        <v>35</v>
      </c>
      <c r="K266" s="3" t="s">
        <v>27</v>
      </c>
      <c r="L266" s="3"/>
      <c r="M266" s="3">
        <v>4</v>
      </c>
      <c r="N266" s="4">
        <v>44483</v>
      </c>
      <c r="O266" s="54">
        <v>0.78472222222222221</v>
      </c>
      <c r="P266" s="5" t="b">
        <v>0</v>
      </c>
      <c r="Q266" s="7">
        <f>E266</f>
        <v>1121</v>
      </c>
      <c r="R266" s="7"/>
      <c r="S266" s="7"/>
      <c r="T266" s="7"/>
      <c r="U266" s="3" t="s">
        <v>194</v>
      </c>
      <c r="AA266" s="50" t="s">
        <v>274</v>
      </c>
      <c r="AB266" s="3"/>
      <c r="AC266" s="3"/>
      <c r="AD266" s="3"/>
      <c r="AE266" s="3"/>
    </row>
    <row r="267" spans="1:32" x14ac:dyDescent="0.35">
      <c r="A267" s="3" t="str">
        <f t="shared" si="4"/>
        <v>Sto_WW_HS</v>
      </c>
      <c r="B267" s="3">
        <v>10</v>
      </c>
      <c r="C267" s="3">
        <v>2</v>
      </c>
      <c r="D267" s="3" t="s">
        <v>117</v>
      </c>
      <c r="E267" s="3">
        <v>1121</v>
      </c>
      <c r="F267" s="3" t="s">
        <v>193</v>
      </c>
      <c r="G267" s="3" t="s">
        <v>121</v>
      </c>
      <c r="H267" s="3" t="s">
        <v>20</v>
      </c>
      <c r="I267" s="3" t="s">
        <v>21</v>
      </c>
      <c r="J267" s="3" t="s">
        <v>28</v>
      </c>
      <c r="K267" s="3" t="s">
        <v>27</v>
      </c>
      <c r="L267" s="3"/>
      <c r="M267" s="3">
        <v>4</v>
      </c>
      <c r="N267" s="4">
        <v>44483</v>
      </c>
      <c r="O267" s="4"/>
      <c r="P267" s="5" t="b">
        <v>1</v>
      </c>
      <c r="Q267" s="7">
        <v>1122</v>
      </c>
      <c r="R267" s="7"/>
      <c r="S267" s="7"/>
      <c r="T267" s="7"/>
      <c r="U267" s="3" t="s">
        <v>195</v>
      </c>
      <c r="AA267" s="3" t="s">
        <v>346</v>
      </c>
      <c r="AB267" s="3"/>
      <c r="AC267" s="3"/>
      <c r="AD267" s="3"/>
      <c r="AE267" s="3"/>
    </row>
    <row r="268" spans="1:32" x14ac:dyDescent="0.35">
      <c r="A268" s="3" t="str">
        <f t="shared" si="4"/>
        <v>Wen_WS_HS</v>
      </c>
      <c r="B268" s="3">
        <v>11</v>
      </c>
      <c r="C268" s="3">
        <v>2</v>
      </c>
      <c r="D268" s="3" t="s">
        <v>117</v>
      </c>
      <c r="E268" s="3">
        <v>1123</v>
      </c>
      <c r="F268" s="3" t="s">
        <v>196</v>
      </c>
      <c r="G268" s="3" t="s">
        <v>121</v>
      </c>
      <c r="H268" s="3" t="s">
        <v>39</v>
      </c>
      <c r="I268" s="3" t="s">
        <v>25</v>
      </c>
      <c r="J268" s="3" t="s">
        <v>26</v>
      </c>
      <c r="K268" s="3" t="s">
        <v>27</v>
      </c>
      <c r="L268" s="3">
        <v>2</v>
      </c>
      <c r="M268" s="3">
        <v>5</v>
      </c>
      <c r="N268" s="4">
        <v>44482</v>
      </c>
      <c r="O268" s="4"/>
      <c r="P268" s="5" t="b">
        <v>0</v>
      </c>
      <c r="Q268" s="7">
        <f>E268</f>
        <v>1123</v>
      </c>
      <c r="R268" s="7"/>
      <c r="S268" s="7"/>
      <c r="T268" s="7" t="s">
        <v>302</v>
      </c>
      <c r="U268" s="3"/>
      <c r="AA268" s="3"/>
      <c r="AB268" s="3" t="s">
        <v>326</v>
      </c>
      <c r="AC268" s="3" t="s">
        <v>896</v>
      </c>
      <c r="AD268" s="3" t="s">
        <v>896</v>
      </c>
      <c r="AE268" s="3" t="s">
        <v>896</v>
      </c>
    </row>
    <row r="269" spans="1:32" x14ac:dyDescent="0.35">
      <c r="A269" s="3" t="str">
        <f t="shared" si="4"/>
        <v>Wen_WS_HS</v>
      </c>
      <c r="B269" s="3">
        <v>11</v>
      </c>
      <c r="C269" s="3">
        <v>2</v>
      </c>
      <c r="D269" s="3" t="s">
        <v>117</v>
      </c>
      <c r="E269" s="3">
        <v>1123</v>
      </c>
      <c r="F269" s="3" t="s">
        <v>196</v>
      </c>
      <c r="G269" s="3" t="s">
        <v>121</v>
      </c>
      <c r="H269" s="3" t="s">
        <v>39</v>
      </c>
      <c r="I269" s="3" t="s">
        <v>25</v>
      </c>
      <c r="J269" s="3" t="s">
        <v>28</v>
      </c>
      <c r="K269" s="3" t="s">
        <v>27</v>
      </c>
      <c r="L269" s="3">
        <v>2</v>
      </c>
      <c r="M269" s="3">
        <v>5</v>
      </c>
      <c r="N269" s="4">
        <v>44482</v>
      </c>
      <c r="O269" s="4"/>
      <c r="P269" s="5" t="b">
        <v>1</v>
      </c>
      <c r="Q269" s="7">
        <v>1124</v>
      </c>
      <c r="R269" s="7"/>
      <c r="S269" s="7"/>
      <c r="T269" s="7"/>
      <c r="U269" s="3"/>
      <c r="Z269" t="s">
        <v>302</v>
      </c>
      <c r="AA269" s="3" t="s">
        <v>341</v>
      </c>
      <c r="AB269" s="3"/>
      <c r="AC269" s="3"/>
      <c r="AD269" s="3"/>
      <c r="AE269" s="3"/>
    </row>
    <row r="270" spans="1:32" x14ac:dyDescent="0.35">
      <c r="A270" s="3" t="str">
        <f t="shared" si="4"/>
        <v>Wen_WW_HS</v>
      </c>
      <c r="B270" s="3">
        <v>12</v>
      </c>
      <c r="C270" s="3">
        <v>2</v>
      </c>
      <c r="D270" s="3" t="s">
        <v>117</v>
      </c>
      <c r="E270" s="3">
        <v>1125</v>
      </c>
      <c r="F270" s="3" t="s">
        <v>197</v>
      </c>
      <c r="G270" s="3" t="s">
        <v>121</v>
      </c>
      <c r="H270" s="3" t="s">
        <v>20</v>
      </c>
      <c r="I270" s="3" t="s">
        <v>25</v>
      </c>
      <c r="J270" s="3" t="s">
        <v>26</v>
      </c>
      <c r="K270" s="3" t="s">
        <v>27</v>
      </c>
      <c r="L270" s="3">
        <v>2</v>
      </c>
      <c r="M270" s="3">
        <v>5</v>
      </c>
      <c r="N270" s="4">
        <v>44483</v>
      </c>
      <c r="O270" s="4"/>
      <c r="P270" s="5" t="b">
        <v>0</v>
      </c>
      <c r="Q270" s="7">
        <f>E270</f>
        <v>1125</v>
      </c>
      <c r="R270" s="7"/>
      <c r="S270" s="7"/>
      <c r="T270" s="7"/>
      <c r="U270" s="3"/>
      <c r="AA270" s="3"/>
      <c r="AB270" s="3" t="s">
        <v>326</v>
      </c>
      <c r="AC270" s="3" t="s">
        <v>896</v>
      </c>
      <c r="AD270" s="3" t="s">
        <v>896</v>
      </c>
      <c r="AE270" s="3" t="s">
        <v>896</v>
      </c>
    </row>
    <row r="271" spans="1:32" x14ac:dyDescent="0.35">
      <c r="A271" s="3" t="str">
        <f t="shared" si="4"/>
        <v>Wen_WW_HS</v>
      </c>
      <c r="B271" s="3">
        <v>12</v>
      </c>
      <c r="C271" s="3">
        <v>2</v>
      </c>
      <c r="D271" s="3" t="s">
        <v>117</v>
      </c>
      <c r="E271" s="3">
        <v>1125</v>
      </c>
      <c r="F271" s="3" t="s">
        <v>197</v>
      </c>
      <c r="G271" s="3" t="s">
        <v>121</v>
      </c>
      <c r="H271" s="3" t="s">
        <v>20</v>
      </c>
      <c r="I271" s="3" t="s">
        <v>25</v>
      </c>
      <c r="J271" s="3" t="s">
        <v>28</v>
      </c>
      <c r="K271" s="3" t="s">
        <v>27</v>
      </c>
      <c r="L271" s="3">
        <v>2</v>
      </c>
      <c r="M271" s="3">
        <v>5</v>
      </c>
      <c r="N271" s="4">
        <v>44483</v>
      </c>
      <c r="O271" s="4"/>
      <c r="P271" s="5" t="b">
        <v>1</v>
      </c>
      <c r="Q271" s="7">
        <v>1126</v>
      </c>
      <c r="R271" s="7"/>
      <c r="S271" s="7"/>
      <c r="T271" s="7"/>
      <c r="U271" s="3"/>
      <c r="Z271" t="s">
        <v>302</v>
      </c>
      <c r="AA271" s="3"/>
      <c r="AB271" s="3"/>
      <c r="AC271" s="3"/>
      <c r="AD271" s="3"/>
      <c r="AE271" s="3"/>
    </row>
    <row r="272" spans="1:32" x14ac:dyDescent="0.35">
      <c r="A272" s="3" t="str">
        <f t="shared" si="4"/>
        <v>Sto_WW_HS</v>
      </c>
      <c r="B272" s="3">
        <v>13</v>
      </c>
      <c r="C272" s="3">
        <v>2</v>
      </c>
      <c r="D272" s="3" t="s">
        <v>117</v>
      </c>
      <c r="E272" s="3">
        <v>1127</v>
      </c>
      <c r="F272" s="3" t="s">
        <v>198</v>
      </c>
      <c r="G272" s="3" t="s">
        <v>121</v>
      </c>
      <c r="H272" s="3" t="s">
        <v>20</v>
      </c>
      <c r="I272" s="3" t="s">
        <v>21</v>
      </c>
      <c r="J272" s="3" t="s">
        <v>22</v>
      </c>
      <c r="K272" s="3" t="s">
        <v>23</v>
      </c>
      <c r="L272" s="3">
        <v>2</v>
      </c>
      <c r="M272" s="3">
        <v>8</v>
      </c>
      <c r="N272" s="4">
        <v>44483</v>
      </c>
      <c r="O272" s="54">
        <v>0.5</v>
      </c>
      <c r="P272" s="5" t="b">
        <v>0</v>
      </c>
      <c r="Q272" s="7">
        <f>E272</f>
        <v>1127</v>
      </c>
      <c r="R272" s="7"/>
      <c r="S272" s="7"/>
      <c r="T272" s="7"/>
      <c r="U272" s="3"/>
      <c r="Y272" t="s">
        <v>302</v>
      </c>
      <c r="AA272" s="3" t="s">
        <v>331</v>
      </c>
      <c r="AC272" t="s">
        <v>889</v>
      </c>
      <c r="AD272" t="s">
        <v>889</v>
      </c>
      <c r="AE272" t="s">
        <v>889</v>
      </c>
      <c r="AF272" t="s">
        <v>895</v>
      </c>
    </row>
    <row r="273" spans="1:32" x14ac:dyDescent="0.35">
      <c r="A273" s="3" t="str">
        <f t="shared" si="4"/>
        <v>Sto_WW_HS</v>
      </c>
      <c r="B273" s="3">
        <v>13</v>
      </c>
      <c r="C273" s="3">
        <v>2</v>
      </c>
      <c r="D273" s="3" t="s">
        <v>117</v>
      </c>
      <c r="E273" s="3">
        <v>1127</v>
      </c>
      <c r="F273" s="3" t="s">
        <v>198</v>
      </c>
      <c r="G273" s="3" t="s">
        <v>121</v>
      </c>
      <c r="H273" s="3" t="s">
        <v>20</v>
      </c>
      <c r="I273" s="3" t="s">
        <v>21</v>
      </c>
      <c r="J273" s="3" t="s">
        <v>35</v>
      </c>
      <c r="K273" s="3" t="s">
        <v>23</v>
      </c>
      <c r="L273" s="3">
        <v>2</v>
      </c>
      <c r="M273" s="3">
        <v>8</v>
      </c>
      <c r="N273" s="4">
        <v>44483</v>
      </c>
      <c r="O273" s="54">
        <v>0.5</v>
      </c>
      <c r="P273" s="5" t="b">
        <v>1</v>
      </c>
      <c r="Q273" s="7">
        <v>1128</v>
      </c>
      <c r="R273" s="7"/>
      <c r="S273" s="7"/>
      <c r="T273" s="7"/>
      <c r="U273" s="3"/>
      <c r="AA273" s="3"/>
      <c r="AB273" s="3"/>
      <c r="AC273" s="3"/>
      <c r="AD273" s="3"/>
      <c r="AE273" s="3"/>
    </row>
    <row r="274" spans="1:32" x14ac:dyDescent="0.35">
      <c r="A274" s="3" t="str">
        <f t="shared" si="4"/>
        <v>Sto_WS_HS</v>
      </c>
      <c r="B274" s="3">
        <v>14</v>
      </c>
      <c r="C274" s="3">
        <v>2</v>
      </c>
      <c r="D274" s="3" t="s">
        <v>117</v>
      </c>
      <c r="E274" s="3">
        <v>1129</v>
      </c>
      <c r="F274" s="3" t="s">
        <v>199</v>
      </c>
      <c r="G274" s="3" t="s">
        <v>121</v>
      </c>
      <c r="H274" s="3" t="s">
        <v>39</v>
      </c>
      <c r="I274" s="3" t="s">
        <v>21</v>
      </c>
      <c r="J274" s="3" t="s">
        <v>26</v>
      </c>
      <c r="K274" s="3" t="s">
        <v>27</v>
      </c>
      <c r="L274" s="3">
        <v>2</v>
      </c>
      <c r="M274" s="3">
        <v>5</v>
      </c>
      <c r="N274" s="4">
        <v>44483</v>
      </c>
      <c r="O274" s="4"/>
      <c r="P274" s="5" t="b">
        <v>0</v>
      </c>
      <c r="Q274" s="7">
        <f>E274</f>
        <v>1129</v>
      </c>
      <c r="R274" s="7"/>
      <c r="S274" s="7"/>
      <c r="T274" s="7" t="s">
        <v>302</v>
      </c>
      <c r="U274" s="3"/>
      <c r="W274" t="s">
        <v>302</v>
      </c>
      <c r="AA274" s="3" t="s">
        <v>334</v>
      </c>
      <c r="AB274" s="3" t="s">
        <v>326</v>
      </c>
      <c r="AC274" s="3" t="s">
        <v>896</v>
      </c>
      <c r="AD274" s="3" t="s">
        <v>896</v>
      </c>
      <c r="AE274" s="3" t="s">
        <v>896</v>
      </c>
    </row>
    <row r="275" spans="1:32" x14ac:dyDescent="0.35">
      <c r="A275" s="3" t="str">
        <f t="shared" si="4"/>
        <v>Sto_WS_HS</v>
      </c>
      <c r="B275" s="3">
        <v>14</v>
      </c>
      <c r="C275" s="3">
        <v>2</v>
      </c>
      <c r="D275" s="3" t="s">
        <v>117</v>
      </c>
      <c r="E275" s="3">
        <v>1129</v>
      </c>
      <c r="F275" s="3" t="s">
        <v>199</v>
      </c>
      <c r="G275" s="3" t="s">
        <v>121</v>
      </c>
      <c r="H275" s="3" t="s">
        <v>39</v>
      </c>
      <c r="I275" s="3" t="s">
        <v>21</v>
      </c>
      <c r="J275" s="3" t="s">
        <v>28</v>
      </c>
      <c r="K275" s="3" t="s">
        <v>27</v>
      </c>
      <c r="L275" s="3">
        <v>2</v>
      </c>
      <c r="M275" s="3">
        <v>5</v>
      </c>
      <c r="N275" s="4">
        <v>44483</v>
      </c>
      <c r="O275" s="4"/>
      <c r="P275" s="5" t="b">
        <v>1</v>
      </c>
      <c r="Q275" s="7">
        <v>1130</v>
      </c>
      <c r="R275" s="7"/>
      <c r="S275" s="7"/>
      <c r="T275" s="7"/>
      <c r="U275" s="3"/>
      <c r="AA275" s="3"/>
      <c r="AB275" s="3"/>
      <c r="AC275" s="3"/>
      <c r="AD275" s="3"/>
      <c r="AE275" s="3"/>
    </row>
    <row r="276" spans="1:32" x14ac:dyDescent="0.35">
      <c r="A276" s="3" t="str">
        <f t="shared" si="4"/>
        <v>Wen_WW_HS</v>
      </c>
      <c r="B276" s="3">
        <v>15</v>
      </c>
      <c r="C276" s="3">
        <v>2</v>
      </c>
      <c r="D276" s="3" t="s">
        <v>117</v>
      </c>
      <c r="E276" s="3">
        <v>1131</v>
      </c>
      <c r="F276" s="3" t="s">
        <v>200</v>
      </c>
      <c r="G276" s="3" t="s">
        <v>121</v>
      </c>
      <c r="H276" s="3" t="s">
        <v>20</v>
      </c>
      <c r="I276" s="3" t="s">
        <v>25</v>
      </c>
      <c r="J276" s="3" t="s">
        <v>22</v>
      </c>
      <c r="K276" s="3" t="s">
        <v>23</v>
      </c>
      <c r="L276" s="3">
        <v>2</v>
      </c>
      <c r="M276" s="3">
        <v>8</v>
      </c>
      <c r="N276" s="4">
        <v>44483</v>
      </c>
      <c r="O276" s="54">
        <v>0.5</v>
      </c>
      <c r="P276" s="5" t="b">
        <v>0</v>
      </c>
      <c r="Q276" s="7">
        <f>E276</f>
        <v>1131</v>
      </c>
      <c r="R276" s="7"/>
      <c r="S276" s="7"/>
      <c r="T276" s="7"/>
      <c r="U276" s="3"/>
      <c r="AA276" s="3"/>
      <c r="AB276" s="3"/>
      <c r="AC276" t="s">
        <v>894</v>
      </c>
      <c r="AD276" t="s">
        <v>894</v>
      </c>
      <c r="AE276" t="s">
        <v>894</v>
      </c>
      <c r="AF276" t="s">
        <v>895</v>
      </c>
    </row>
    <row r="277" spans="1:32" x14ac:dyDescent="0.35">
      <c r="A277" s="3" t="str">
        <f t="shared" si="4"/>
        <v>Wen_WW_HS</v>
      </c>
      <c r="B277" s="3">
        <v>15</v>
      </c>
      <c r="C277" s="3">
        <v>2</v>
      </c>
      <c r="D277" s="3" t="s">
        <v>117</v>
      </c>
      <c r="E277" s="3">
        <v>1131</v>
      </c>
      <c r="F277" s="3" t="s">
        <v>200</v>
      </c>
      <c r="G277" s="3" t="s">
        <v>121</v>
      </c>
      <c r="H277" s="3" t="s">
        <v>20</v>
      </c>
      <c r="I277" s="3" t="s">
        <v>25</v>
      </c>
      <c r="J277" s="3" t="s">
        <v>35</v>
      </c>
      <c r="K277" s="3" t="s">
        <v>23</v>
      </c>
      <c r="L277" s="3">
        <v>2</v>
      </c>
      <c r="M277" s="3">
        <v>8</v>
      </c>
      <c r="N277" s="4">
        <v>44483</v>
      </c>
      <c r="O277" s="54">
        <v>0.5</v>
      </c>
      <c r="P277" s="5" t="b">
        <v>1</v>
      </c>
      <c r="Q277" s="7">
        <v>1132</v>
      </c>
      <c r="R277" s="7">
        <v>17</v>
      </c>
      <c r="S277" s="7"/>
      <c r="T277" s="7"/>
      <c r="U277" s="3"/>
      <c r="Z277" t="s">
        <v>302</v>
      </c>
      <c r="AA277" s="3" t="s">
        <v>244</v>
      </c>
      <c r="AB277" s="3" t="s">
        <v>325</v>
      </c>
      <c r="AC277" s="3"/>
      <c r="AD277" s="3"/>
      <c r="AE277" s="3"/>
    </row>
    <row r="278" spans="1:32" x14ac:dyDescent="0.35">
      <c r="A278" s="3" t="str">
        <f t="shared" si="4"/>
        <v>Sto_WW_HS</v>
      </c>
      <c r="B278" s="3">
        <v>16</v>
      </c>
      <c r="C278" s="3">
        <v>2</v>
      </c>
      <c r="D278" s="3" t="s">
        <v>117</v>
      </c>
      <c r="E278" s="3">
        <v>1133</v>
      </c>
      <c r="F278" s="3" t="s">
        <v>201</v>
      </c>
      <c r="G278" s="3" t="s">
        <v>121</v>
      </c>
      <c r="H278" s="3" t="s">
        <v>20</v>
      </c>
      <c r="I278" s="3" t="s">
        <v>21</v>
      </c>
      <c r="J278" s="3" t="s">
        <v>26</v>
      </c>
      <c r="K278" s="3" t="s">
        <v>27</v>
      </c>
      <c r="L278" s="3">
        <v>2</v>
      </c>
      <c r="M278" s="3">
        <v>5</v>
      </c>
      <c r="N278" s="4">
        <v>44483</v>
      </c>
      <c r="O278" s="4"/>
      <c r="P278" s="5" t="b">
        <v>0</v>
      </c>
      <c r="Q278" s="7">
        <f>E278</f>
        <v>1133</v>
      </c>
      <c r="R278" s="7"/>
      <c r="S278" s="7"/>
      <c r="T278" s="7" t="s">
        <v>302</v>
      </c>
      <c r="U278" s="3"/>
      <c r="AA278" s="3"/>
      <c r="AB278" s="3" t="s">
        <v>326</v>
      </c>
      <c r="AC278" s="3" t="s">
        <v>896</v>
      </c>
      <c r="AD278" s="3" t="s">
        <v>896</v>
      </c>
      <c r="AE278" s="3" t="s">
        <v>896</v>
      </c>
    </row>
    <row r="279" spans="1:32" x14ac:dyDescent="0.35">
      <c r="A279" s="3" t="str">
        <f t="shared" si="4"/>
        <v>Sto_WW_HS</v>
      </c>
      <c r="B279" s="3">
        <v>16</v>
      </c>
      <c r="C279" s="3">
        <v>2</v>
      </c>
      <c r="D279" s="3" t="s">
        <v>117</v>
      </c>
      <c r="E279" s="3">
        <v>1133</v>
      </c>
      <c r="F279" s="3" t="s">
        <v>201</v>
      </c>
      <c r="G279" s="3" t="s">
        <v>121</v>
      </c>
      <c r="H279" s="3" t="s">
        <v>20</v>
      </c>
      <c r="I279" s="3" t="s">
        <v>21</v>
      </c>
      <c r="J279" s="3" t="s">
        <v>28</v>
      </c>
      <c r="K279" s="3" t="s">
        <v>27</v>
      </c>
      <c r="L279" s="3">
        <v>2</v>
      </c>
      <c r="M279" s="3">
        <v>5</v>
      </c>
      <c r="N279" s="4">
        <v>44483</v>
      </c>
      <c r="O279" s="4"/>
      <c r="P279" s="5" t="b">
        <v>1</v>
      </c>
      <c r="Q279" s="7">
        <v>1134</v>
      </c>
      <c r="R279" s="7"/>
      <c r="S279" s="7"/>
      <c r="T279" s="7"/>
      <c r="U279" s="3"/>
      <c r="Z279" t="s">
        <v>302</v>
      </c>
      <c r="AA279" s="3"/>
      <c r="AB279" s="3"/>
      <c r="AC279" s="3"/>
      <c r="AD279" s="3"/>
      <c r="AE279" s="3"/>
    </row>
    <row r="280" spans="1:32" x14ac:dyDescent="0.35">
      <c r="A280" s="3" t="str">
        <f t="shared" si="4"/>
        <v>Sto_WW_OT</v>
      </c>
      <c r="B280" s="3">
        <v>17</v>
      </c>
      <c r="C280" s="3">
        <v>2</v>
      </c>
      <c r="D280" s="3" t="s">
        <v>117</v>
      </c>
      <c r="E280" s="3">
        <v>1135</v>
      </c>
      <c r="F280" s="3" t="s">
        <v>202</v>
      </c>
      <c r="G280" s="3" t="s">
        <v>19</v>
      </c>
      <c r="H280" s="3" t="s">
        <v>20</v>
      </c>
      <c r="I280" s="3" t="s">
        <v>21</v>
      </c>
      <c r="J280" s="3" t="s">
        <v>22</v>
      </c>
      <c r="K280" s="3" t="s">
        <v>23</v>
      </c>
      <c r="L280" s="3">
        <v>1</v>
      </c>
      <c r="M280" s="3">
        <v>3</v>
      </c>
      <c r="N280" s="4">
        <v>44466</v>
      </c>
      <c r="O280" s="4"/>
      <c r="P280" s="5" t="b">
        <f>ISEVEN(Q280)</f>
        <v>0</v>
      </c>
      <c r="Q280" s="7">
        <f>E280</f>
        <v>1135</v>
      </c>
      <c r="R280" s="7"/>
      <c r="S280" s="7"/>
      <c r="T280" s="7"/>
      <c r="U280" s="3"/>
      <c r="AA280" s="3"/>
      <c r="AB280" s="3"/>
      <c r="AC280" t="s">
        <v>894</v>
      </c>
      <c r="AD280" t="s">
        <v>894</v>
      </c>
      <c r="AE280" t="s">
        <v>894</v>
      </c>
    </row>
    <row r="281" spans="1:32" x14ac:dyDescent="0.35">
      <c r="A281" s="3" t="str">
        <f t="shared" si="4"/>
        <v>Sto_WW_OT</v>
      </c>
      <c r="B281" s="3">
        <v>17</v>
      </c>
      <c r="C281" s="3">
        <v>2</v>
      </c>
      <c r="D281" s="3" t="s">
        <v>117</v>
      </c>
      <c r="E281" s="3">
        <v>1135</v>
      </c>
      <c r="F281" s="3" t="s">
        <v>202</v>
      </c>
      <c r="G281" s="3" t="s">
        <v>19</v>
      </c>
      <c r="H281" s="3" t="s">
        <v>20</v>
      </c>
      <c r="I281" s="3" t="s">
        <v>21</v>
      </c>
      <c r="J281" s="3" t="s">
        <v>22</v>
      </c>
      <c r="K281" s="3" t="s">
        <v>23</v>
      </c>
      <c r="L281" s="3">
        <v>1</v>
      </c>
      <c r="M281" s="3">
        <v>3</v>
      </c>
      <c r="N281" s="4">
        <v>44466</v>
      </c>
      <c r="O281" s="4"/>
      <c r="P281" s="5" t="b">
        <f>ISEVEN(Q281)</f>
        <v>1</v>
      </c>
      <c r="Q281" s="7">
        <v>1136</v>
      </c>
      <c r="R281" s="7"/>
      <c r="S281" s="7"/>
      <c r="T281" s="7"/>
      <c r="U281" s="3"/>
      <c r="AA281" s="3"/>
      <c r="AB281" s="3"/>
      <c r="AC281" t="s">
        <v>894</v>
      </c>
      <c r="AD281" t="s">
        <v>894</v>
      </c>
      <c r="AE281" t="s">
        <v>894</v>
      </c>
    </row>
    <row r="282" spans="1:32" x14ac:dyDescent="0.35">
      <c r="A282" s="3" t="str">
        <f t="shared" si="4"/>
        <v>Wen_WW_HS</v>
      </c>
      <c r="B282" s="3">
        <v>18</v>
      </c>
      <c r="C282" s="3">
        <v>2</v>
      </c>
      <c r="D282" s="3" t="s">
        <v>117</v>
      </c>
      <c r="E282" s="3">
        <v>1137</v>
      </c>
      <c r="F282" s="3" t="s">
        <v>203</v>
      </c>
      <c r="G282" s="3" t="s">
        <v>121</v>
      </c>
      <c r="H282" s="3" t="s">
        <v>20</v>
      </c>
      <c r="I282" s="3" t="s">
        <v>25</v>
      </c>
      <c r="J282" s="3" t="s">
        <v>35</v>
      </c>
      <c r="K282" s="3"/>
      <c r="L282" s="3">
        <v>2</v>
      </c>
      <c r="M282" s="3">
        <v>3</v>
      </c>
      <c r="N282" s="4">
        <v>44483</v>
      </c>
      <c r="O282" s="54">
        <v>0.79166666666666663</v>
      </c>
      <c r="P282" s="5" t="b">
        <v>0</v>
      </c>
      <c r="Q282" s="7">
        <f>E282</f>
        <v>1137</v>
      </c>
      <c r="R282" s="7"/>
      <c r="S282" s="7"/>
      <c r="T282" s="7"/>
      <c r="U282" s="3"/>
      <c r="AA282" s="3" t="s">
        <v>215</v>
      </c>
      <c r="AB282" s="3"/>
      <c r="AC282" s="3"/>
      <c r="AD282" s="3"/>
      <c r="AE282" s="3"/>
    </row>
    <row r="283" spans="1:32" x14ac:dyDescent="0.35">
      <c r="A283" s="3" t="str">
        <f t="shared" si="4"/>
        <v>Wen_WW_HS</v>
      </c>
      <c r="B283" s="3">
        <v>18</v>
      </c>
      <c r="C283" s="3">
        <v>2</v>
      </c>
      <c r="D283" s="3" t="s">
        <v>117</v>
      </c>
      <c r="E283" s="3">
        <v>1137</v>
      </c>
      <c r="F283" s="3" t="s">
        <v>203</v>
      </c>
      <c r="G283" s="3" t="s">
        <v>121</v>
      </c>
      <c r="H283" s="3" t="s">
        <v>20</v>
      </c>
      <c r="I283" s="3" t="s">
        <v>25</v>
      </c>
      <c r="J283" s="3"/>
      <c r="K283" s="3"/>
      <c r="L283" s="3">
        <v>2</v>
      </c>
      <c r="M283" s="3">
        <v>3</v>
      </c>
      <c r="N283" s="4">
        <v>44483</v>
      </c>
      <c r="O283" s="54"/>
      <c r="P283" s="5" t="b">
        <v>1</v>
      </c>
      <c r="Q283" s="7">
        <v>1138</v>
      </c>
      <c r="R283" s="7"/>
      <c r="S283" s="7"/>
      <c r="T283" s="7"/>
      <c r="U283" s="3"/>
      <c r="AA283" s="3"/>
      <c r="AB283" s="3"/>
      <c r="AC283" s="3"/>
      <c r="AD283" s="3"/>
      <c r="AE283" s="3"/>
    </row>
    <row r="284" spans="1:32" x14ac:dyDescent="0.35">
      <c r="A284" s="3" t="str">
        <f t="shared" si="4"/>
        <v>Sto_WW_HS</v>
      </c>
      <c r="B284" s="3">
        <v>19</v>
      </c>
      <c r="C284" s="3">
        <v>2</v>
      </c>
      <c r="D284" s="3" t="s">
        <v>117</v>
      </c>
      <c r="E284" s="3">
        <v>1139</v>
      </c>
      <c r="F284" s="3" t="s">
        <v>204</v>
      </c>
      <c r="G284" s="3" t="s">
        <v>121</v>
      </c>
      <c r="H284" s="3" t="s">
        <v>20</v>
      </c>
      <c r="I284" s="3" t="s">
        <v>21</v>
      </c>
      <c r="J284" s="3" t="s">
        <v>35</v>
      </c>
      <c r="K284" s="3" t="s">
        <v>23</v>
      </c>
      <c r="L284" s="3"/>
      <c r="M284" s="3">
        <v>3</v>
      </c>
      <c r="N284" s="4">
        <v>44483</v>
      </c>
      <c r="O284" s="84">
        <v>0.79166666666666663</v>
      </c>
      <c r="P284" s="5" t="b">
        <v>0</v>
      </c>
      <c r="Q284" s="7">
        <f>E284</f>
        <v>1139</v>
      </c>
      <c r="R284" s="7"/>
      <c r="S284" s="7"/>
      <c r="T284" s="7"/>
      <c r="U284" s="3"/>
      <c r="AA284" s="3" t="s">
        <v>273</v>
      </c>
      <c r="AB284" s="3"/>
      <c r="AC284" s="3"/>
      <c r="AD284" s="3"/>
      <c r="AE284" s="3"/>
      <c r="AF284" t="s">
        <v>895</v>
      </c>
    </row>
    <row r="285" spans="1:32" x14ac:dyDescent="0.35">
      <c r="A285" s="3" t="str">
        <f t="shared" si="4"/>
        <v>Sto_WW_HS</v>
      </c>
      <c r="B285" s="3">
        <v>19</v>
      </c>
      <c r="C285" s="3">
        <v>2</v>
      </c>
      <c r="D285" s="3" t="s">
        <v>117</v>
      </c>
      <c r="E285" s="3">
        <v>1139</v>
      </c>
      <c r="F285" s="3" t="s">
        <v>204</v>
      </c>
      <c r="G285" s="3" t="s">
        <v>121</v>
      </c>
      <c r="H285" s="3" t="s">
        <v>20</v>
      </c>
      <c r="I285" s="3" t="s">
        <v>21</v>
      </c>
      <c r="J285" s="3"/>
      <c r="K285" s="3" t="s">
        <v>27</v>
      </c>
      <c r="L285" s="3"/>
      <c r="M285" s="3">
        <v>3</v>
      </c>
      <c r="N285" s="4">
        <v>44483</v>
      </c>
      <c r="P285" s="5" t="b">
        <v>1</v>
      </c>
      <c r="Q285" s="7">
        <v>1140</v>
      </c>
      <c r="R285" s="7"/>
      <c r="S285" s="7"/>
      <c r="T285" s="7"/>
      <c r="U285" s="3"/>
      <c r="AA285" s="3" t="s">
        <v>236</v>
      </c>
      <c r="AB285" s="3"/>
      <c r="AC285" s="3"/>
      <c r="AD285" s="3"/>
      <c r="AE285" s="3"/>
    </row>
    <row r="286" spans="1:32" x14ac:dyDescent="0.35">
      <c r="A286" s="3" t="str">
        <f t="shared" si="4"/>
        <v>Wen_WW_OT</v>
      </c>
      <c r="B286" s="3">
        <v>20</v>
      </c>
      <c r="C286" s="3">
        <v>2</v>
      </c>
      <c r="D286" s="3" t="s">
        <v>117</v>
      </c>
      <c r="E286" s="3">
        <v>1141</v>
      </c>
      <c r="F286" s="3" t="s">
        <v>205</v>
      </c>
      <c r="G286" s="3" t="s">
        <v>19</v>
      </c>
      <c r="H286" s="3" t="s">
        <v>20</v>
      </c>
      <c r="I286" s="3" t="s">
        <v>25</v>
      </c>
      <c r="J286" s="3" t="s">
        <v>22</v>
      </c>
      <c r="K286" s="3" t="s">
        <v>23</v>
      </c>
      <c r="L286" s="3">
        <v>1</v>
      </c>
      <c r="M286" s="3">
        <v>3</v>
      </c>
      <c r="N286" s="4">
        <v>44466</v>
      </c>
      <c r="O286" s="4"/>
      <c r="P286" s="5" t="b">
        <f>ISEVEN(Q286)</f>
        <v>0</v>
      </c>
      <c r="Q286" s="7">
        <f>E286</f>
        <v>1141</v>
      </c>
      <c r="R286" s="7"/>
      <c r="S286" s="7"/>
      <c r="T286" s="7"/>
      <c r="U286" s="3"/>
      <c r="AA286" s="3"/>
      <c r="AB286" s="3"/>
      <c r="AC286" t="s">
        <v>894</v>
      </c>
      <c r="AD286" t="s">
        <v>894</v>
      </c>
      <c r="AE286" t="s">
        <v>894</v>
      </c>
      <c r="AF286" t="s">
        <v>895</v>
      </c>
    </row>
    <row r="287" spans="1:32" x14ac:dyDescent="0.35">
      <c r="A287" s="3" t="str">
        <f t="shared" si="4"/>
        <v>Wen_WW_OT</v>
      </c>
      <c r="B287" s="3">
        <v>20</v>
      </c>
      <c r="C287" s="3">
        <v>2</v>
      </c>
      <c r="D287" s="3" t="s">
        <v>117</v>
      </c>
      <c r="E287" s="3">
        <v>1141</v>
      </c>
      <c r="F287" s="3" t="s">
        <v>205</v>
      </c>
      <c r="G287" s="3" t="s">
        <v>19</v>
      </c>
      <c r="H287" s="3" t="s">
        <v>20</v>
      </c>
      <c r="I287" s="3" t="s">
        <v>25</v>
      </c>
      <c r="J287" s="3" t="s">
        <v>22</v>
      </c>
      <c r="K287" s="3" t="s">
        <v>23</v>
      </c>
      <c r="L287" s="3">
        <v>1</v>
      </c>
      <c r="M287" s="3">
        <v>3</v>
      </c>
      <c r="N287" s="4">
        <v>44466</v>
      </c>
      <c r="O287" s="4"/>
      <c r="P287" s="5" t="b">
        <f>ISEVEN(Q287)</f>
        <v>1</v>
      </c>
      <c r="Q287" s="7">
        <v>1142</v>
      </c>
      <c r="R287" s="7"/>
      <c r="S287" s="7"/>
      <c r="T287" s="7"/>
      <c r="U287" s="3"/>
      <c r="AA287" s="3"/>
      <c r="AB287" s="3"/>
      <c r="AC287" t="s">
        <v>894</v>
      </c>
      <c r="AD287" t="s">
        <v>894</v>
      </c>
      <c r="AE287" t="s">
        <v>894</v>
      </c>
    </row>
    <row r="288" spans="1:32" x14ac:dyDescent="0.35">
      <c r="A288" s="3" t="str">
        <f t="shared" si="4"/>
        <v>Wen_WW_HS</v>
      </c>
      <c r="B288" s="3">
        <v>21</v>
      </c>
      <c r="C288" s="3">
        <v>2</v>
      </c>
      <c r="D288" s="3" t="s">
        <v>117</v>
      </c>
      <c r="E288" s="3">
        <v>1143</v>
      </c>
      <c r="F288" s="3" t="s">
        <v>206</v>
      </c>
      <c r="G288" s="3" t="s">
        <v>121</v>
      </c>
      <c r="H288" s="3" t="s">
        <v>20</v>
      </c>
      <c r="I288" s="3" t="s">
        <v>25</v>
      </c>
      <c r="J288" s="3" t="s">
        <v>26</v>
      </c>
      <c r="K288" s="3" t="s">
        <v>23</v>
      </c>
      <c r="L288" s="3">
        <v>2</v>
      </c>
      <c r="M288" s="3"/>
      <c r="N288" s="4">
        <v>44481</v>
      </c>
      <c r="O288" s="4"/>
      <c r="P288" s="5" t="b">
        <v>0</v>
      </c>
      <c r="Q288" s="7">
        <f>E288</f>
        <v>1143</v>
      </c>
      <c r="R288" s="7"/>
      <c r="S288" s="7"/>
      <c r="T288" s="7" t="s">
        <v>302</v>
      </c>
      <c r="U288" s="3"/>
      <c r="AA288" s="3"/>
      <c r="AB288" s="3" t="s">
        <v>326</v>
      </c>
      <c r="AC288" s="3" t="s">
        <v>896</v>
      </c>
      <c r="AD288" s="3" t="s">
        <v>896</v>
      </c>
      <c r="AE288" s="3" t="s">
        <v>896</v>
      </c>
    </row>
    <row r="289" spans="1:30" x14ac:dyDescent="0.35">
      <c r="A289" s="3" t="str">
        <f t="shared" si="4"/>
        <v>Wen_WW_HS</v>
      </c>
      <c r="B289" s="3">
        <v>21</v>
      </c>
      <c r="C289" s="3">
        <v>2</v>
      </c>
      <c r="D289" s="3" t="s">
        <v>117</v>
      </c>
      <c r="E289" s="3">
        <v>1143</v>
      </c>
      <c r="F289" s="3" t="s">
        <v>206</v>
      </c>
      <c r="G289" s="3" t="s">
        <v>121</v>
      </c>
      <c r="H289" s="3" t="s">
        <v>20</v>
      </c>
      <c r="I289" s="3" t="s">
        <v>25</v>
      </c>
      <c r="J289" s="3" t="s">
        <v>28</v>
      </c>
      <c r="K289" s="3" t="s">
        <v>23</v>
      </c>
      <c r="L289" s="3">
        <v>2</v>
      </c>
      <c r="M289" s="3"/>
      <c r="N289" s="4">
        <v>44481</v>
      </c>
      <c r="O289" s="4"/>
      <c r="P289" s="5" t="b">
        <v>1</v>
      </c>
      <c r="Q289" s="7">
        <v>1144</v>
      </c>
      <c r="R289" s="7"/>
      <c r="S289" s="7"/>
      <c r="T289" s="7"/>
      <c r="U289" s="3"/>
      <c r="Z289" t="s">
        <v>302</v>
      </c>
      <c r="AA289" s="3"/>
      <c r="AB289" s="3"/>
      <c r="AC289" s="3"/>
      <c r="AD289" s="3"/>
    </row>
    <row r="290" spans="1:30" x14ac:dyDescent="0.35">
      <c r="U290" s="3"/>
    </row>
    <row r="291" spans="1:30" x14ac:dyDescent="0.35">
      <c r="U291" s="3"/>
    </row>
    <row r="292" spans="1:30" x14ac:dyDescent="0.35">
      <c r="U292" s="3"/>
    </row>
    <row r="293" spans="1:30" x14ac:dyDescent="0.35">
      <c r="U293" s="3"/>
    </row>
    <row r="294" spans="1:30" x14ac:dyDescent="0.35">
      <c r="U294" s="3"/>
    </row>
  </sheetData>
  <conditionalFormatting sqref="D1:D73 D75:D145">
    <cfRule type="containsText" dxfId="162" priority="39" operator="containsText" text="U3">
      <formula>NOT(ISERROR(SEARCH("U3",D1)))</formula>
    </cfRule>
  </conditionalFormatting>
  <conditionalFormatting sqref="G1:G145">
    <cfRule type="containsText" dxfId="161" priority="38" operator="containsText" text="HS">
      <formula>NOT(ISERROR(SEARCH("HS",G1)))</formula>
    </cfRule>
  </conditionalFormatting>
  <conditionalFormatting sqref="K1:K145">
    <cfRule type="containsText" dxfId="160" priority="27" operator="containsText" text="flux">
      <formula>NOT(ISERROR(SEARCH("flux",K1)))</formula>
    </cfRule>
    <cfRule type="containsText" dxfId="159" priority="28" operator="containsText" text="JEx">
      <formula>NOT(ISERROR(SEARCH("JEx",K1)))</formula>
    </cfRule>
    <cfRule type="containsText" dxfId="158" priority="29" operator="containsText" text="EB">
      <formula>NOT(ISERROR(SEARCH("EB",K1)))</formula>
    </cfRule>
  </conditionalFormatting>
  <conditionalFormatting sqref="D146:D217 D219:D289">
    <cfRule type="containsText" dxfId="157" priority="23" operator="containsText" text="U3">
      <formula>NOT(ISERROR(SEARCH("U3",D146)))</formula>
    </cfRule>
  </conditionalFormatting>
  <conditionalFormatting sqref="G146:G289">
    <cfRule type="containsText" dxfId="156" priority="22" operator="containsText" text="HS">
      <formula>NOT(ISERROR(SEARCH("HS",G146)))</formula>
    </cfRule>
  </conditionalFormatting>
  <conditionalFormatting sqref="K146:K289">
    <cfRule type="containsText" dxfId="155" priority="19" operator="containsText" text="flux">
      <formula>NOT(ISERROR(SEARCH("flux",K146)))</formula>
    </cfRule>
    <cfRule type="containsText" dxfId="154" priority="20" operator="containsText" text="JEx">
      <formula>NOT(ISERROR(SEARCH("JEx",K146)))</formula>
    </cfRule>
    <cfRule type="containsText" dxfId="153" priority="21" operator="containsText" text="EB">
      <formula>NOT(ISERROR(SEARCH("EB",K146)))</formula>
    </cfRule>
  </conditionalFormatting>
  <conditionalFormatting sqref="D218">
    <cfRule type="containsText" dxfId="152" priority="15" operator="containsText" text="U3">
      <formula>NOT(ISERROR(SEARCH("U3",D218)))</formula>
    </cfRule>
  </conditionalFormatting>
  <conditionalFormatting sqref="A1:B2 D74 B3:B145 A3:A289">
    <cfRule type="colorScale" priority="40">
      <colorScale>
        <cfvo type="min"/>
        <cfvo type="max"/>
        <color theme="0"/>
        <color theme="5" tint="-0.249977111117893"/>
      </colorScale>
    </cfRule>
  </conditionalFormatting>
  <conditionalFormatting sqref="C1:C145">
    <cfRule type="colorScale" priority="41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B146:B289">
    <cfRule type="colorScale" priority="13">
      <colorScale>
        <cfvo type="min"/>
        <cfvo type="max"/>
        <color theme="0"/>
        <color theme="5" tint="-0.249977111117893"/>
      </colorScale>
    </cfRule>
  </conditionalFormatting>
  <conditionalFormatting sqref="C146:C289">
    <cfRule type="colorScale" priority="14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J1:J289">
    <cfRule type="containsText" dxfId="151" priority="6" operator="containsText" text="BM">
      <formula>NOT(ISERROR(SEARCH("BM",J1)))</formula>
    </cfRule>
    <cfRule type="containsText" dxfId="150" priority="10" operator="containsText" text="exud">
      <formula>NOT(ISERROR(SEARCH("exud",J1)))</formula>
    </cfRule>
    <cfRule type="containsText" dxfId="149" priority="11" operator="containsText" text="jav">
      <formula>NOT(ISERROR(SEARCH("jav",J1)))</formula>
    </cfRule>
    <cfRule type="containsText" dxfId="148" priority="12" operator="containsText" text="eco">
      <formula>NOT(ISERROR(SEARCH("eco",J1)))</formula>
    </cfRule>
  </conditionalFormatting>
  <conditionalFormatting sqref="P2:Q289">
    <cfRule type="containsText" dxfId="147" priority="8" operator="containsText" text="faux">
      <formula>NOT(ISERROR(SEARCH("faux",P2)))</formula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89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6:O1048576 O1:O28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3" footer="0.3"/>
  <pageSetup paperSize="8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7C53-B236-4589-860B-671AE30221E3}">
  <dimension ref="A1:N33"/>
  <sheetViews>
    <sheetView view="pageLayout" zoomScaleNormal="100" workbookViewId="0">
      <selection activeCell="H1" sqref="E1:H1048576"/>
    </sheetView>
  </sheetViews>
  <sheetFormatPr baseColWidth="10" defaultRowHeight="14.5" x14ac:dyDescent="0.35"/>
  <cols>
    <col min="1" max="1" width="13.1796875" bestFit="1" customWidth="1"/>
    <col min="2" max="2" width="5" customWidth="1"/>
    <col min="3" max="3" width="4.81640625" customWidth="1"/>
    <col min="4" max="4" width="6.81640625" customWidth="1"/>
    <col min="5" max="5" width="8.81640625"/>
    <col min="6" max="6" width="8.1796875" hidden="1" customWidth="1"/>
    <col min="7" max="7" width="7.1796875" hidden="1" customWidth="1"/>
    <col min="8" max="8" width="5.54296875" customWidth="1"/>
    <col min="9" max="9" width="6.1796875" customWidth="1"/>
    <col min="10" max="10" width="6.81640625" style="8" customWidth="1"/>
    <col min="11" max="12" width="10" style="8" hidden="1" customWidth="1"/>
    <col min="13" max="13" width="49.81640625" hidden="1" customWidth="1"/>
    <col min="14" max="14" width="12.81640625" bestFit="1" customWidth="1"/>
  </cols>
  <sheetData>
    <row r="1" spans="1:14" ht="22.5" customHeight="1" x14ac:dyDescent="0.35">
      <c r="A1" s="28" t="s">
        <v>283</v>
      </c>
      <c r="B1" s="28" t="s">
        <v>2</v>
      </c>
      <c r="C1" s="28" t="s">
        <v>5</v>
      </c>
      <c r="D1" s="28" t="s">
        <v>6</v>
      </c>
      <c r="E1" s="28" t="s">
        <v>7</v>
      </c>
      <c r="F1" s="28" t="s">
        <v>8</v>
      </c>
      <c r="G1" s="28" t="s">
        <v>9</v>
      </c>
      <c r="H1" s="28" t="s">
        <v>10</v>
      </c>
      <c r="I1" s="29" t="s">
        <v>13</v>
      </c>
      <c r="J1" s="28" t="s">
        <v>321</v>
      </c>
      <c r="K1" s="28" t="s">
        <v>322</v>
      </c>
      <c r="L1" s="28" t="s">
        <v>327</v>
      </c>
      <c r="M1" s="28" t="s">
        <v>324</v>
      </c>
      <c r="N1" s="28" t="s">
        <v>332</v>
      </c>
    </row>
    <row r="2" spans="1:14" ht="22.5" customHeight="1" x14ac:dyDescent="0.35">
      <c r="A2" s="34" t="str">
        <f t="shared" ref="A2:A33" si="0">LEFT(E2,3)&amp;"_"&amp;D2&amp;"_"&amp;C2</f>
        <v>Wen_WW_OT</v>
      </c>
      <c r="B2" s="34" t="s">
        <v>17</v>
      </c>
      <c r="C2" s="34" t="s">
        <v>19</v>
      </c>
      <c r="D2" s="34" t="s">
        <v>20</v>
      </c>
      <c r="E2" s="34" t="s">
        <v>25</v>
      </c>
      <c r="F2" s="34" t="s">
        <v>35</v>
      </c>
      <c r="G2" s="34" t="s">
        <v>23</v>
      </c>
      <c r="H2" s="34">
        <v>2</v>
      </c>
      <c r="I2" s="32" t="b">
        <v>1</v>
      </c>
      <c r="J2" s="36">
        <v>1</v>
      </c>
      <c r="K2" s="36"/>
      <c r="L2" s="36"/>
      <c r="M2" s="34" t="s">
        <v>325</v>
      </c>
      <c r="N2" s="86"/>
    </row>
    <row r="3" spans="1:14" ht="22.5" customHeight="1" x14ac:dyDescent="0.35">
      <c r="A3" s="34" t="str">
        <f t="shared" si="0"/>
        <v>Wen_WW_OT</v>
      </c>
      <c r="B3" s="34" t="s">
        <v>17</v>
      </c>
      <c r="C3" s="34" t="s">
        <v>19</v>
      </c>
      <c r="D3" s="34" t="s">
        <v>20</v>
      </c>
      <c r="E3" s="34" t="s">
        <v>25</v>
      </c>
      <c r="F3" s="34" t="s">
        <v>35</v>
      </c>
      <c r="G3" s="34" t="s">
        <v>23</v>
      </c>
      <c r="H3" s="34">
        <v>2</v>
      </c>
      <c r="I3" s="32" t="b">
        <v>1</v>
      </c>
      <c r="J3" s="36">
        <v>2</v>
      </c>
      <c r="K3" s="36"/>
      <c r="L3" s="36"/>
      <c r="M3" s="34" t="s">
        <v>325</v>
      </c>
      <c r="N3" s="86"/>
    </row>
    <row r="4" spans="1:14" ht="22.5" customHeight="1" x14ac:dyDescent="0.35">
      <c r="A4" s="34" t="str">
        <f t="shared" si="0"/>
        <v>Wen_WW_OT</v>
      </c>
      <c r="B4" s="34" t="s">
        <v>17</v>
      </c>
      <c r="C4" s="34" t="s">
        <v>19</v>
      </c>
      <c r="D4" s="34" t="s">
        <v>20</v>
      </c>
      <c r="E4" s="34" t="s">
        <v>25</v>
      </c>
      <c r="F4" s="34" t="s">
        <v>35</v>
      </c>
      <c r="G4" s="34" t="s">
        <v>23</v>
      </c>
      <c r="H4" s="34">
        <v>2</v>
      </c>
      <c r="I4" s="32" t="b">
        <v>1</v>
      </c>
      <c r="J4" s="36">
        <v>3</v>
      </c>
      <c r="K4" s="36"/>
      <c r="L4" s="36"/>
      <c r="M4" s="34" t="s">
        <v>325</v>
      </c>
      <c r="N4" s="86"/>
    </row>
    <row r="5" spans="1:14" ht="22.5" customHeight="1" x14ac:dyDescent="0.35">
      <c r="A5" s="34" t="str">
        <f t="shared" si="0"/>
        <v>Wen_WW_OT</v>
      </c>
      <c r="B5" s="34" t="s">
        <v>17</v>
      </c>
      <c r="C5" s="34" t="s">
        <v>19</v>
      </c>
      <c r="D5" s="34" t="s">
        <v>20</v>
      </c>
      <c r="E5" s="34" t="s">
        <v>25</v>
      </c>
      <c r="F5" s="34" t="s">
        <v>35</v>
      </c>
      <c r="G5" s="34" t="s">
        <v>23</v>
      </c>
      <c r="H5" s="34">
        <v>2</v>
      </c>
      <c r="I5" s="32" t="b">
        <v>1</v>
      </c>
      <c r="J5" s="36">
        <v>4</v>
      </c>
      <c r="K5" s="36"/>
      <c r="L5" s="36"/>
      <c r="M5" s="34" t="s">
        <v>325</v>
      </c>
      <c r="N5" s="86"/>
    </row>
    <row r="6" spans="1:14" ht="22.5" customHeight="1" x14ac:dyDescent="0.35">
      <c r="A6" s="34" t="str">
        <f t="shared" si="0"/>
        <v>Sto_WW_OT</v>
      </c>
      <c r="B6" s="34" t="s">
        <v>17</v>
      </c>
      <c r="C6" s="34" t="s">
        <v>19</v>
      </c>
      <c r="D6" s="34" t="s">
        <v>20</v>
      </c>
      <c r="E6" s="34" t="s">
        <v>21</v>
      </c>
      <c r="F6" s="34" t="s">
        <v>35</v>
      </c>
      <c r="G6" s="34" t="s">
        <v>27</v>
      </c>
      <c r="H6" s="34">
        <v>2</v>
      </c>
      <c r="I6" s="32" t="b">
        <v>1</v>
      </c>
      <c r="J6" s="36">
        <v>5</v>
      </c>
      <c r="K6" s="36"/>
      <c r="L6" s="36"/>
      <c r="M6" s="34" t="s">
        <v>325</v>
      </c>
      <c r="N6" s="86"/>
    </row>
    <row r="7" spans="1:14" ht="22.5" customHeight="1" x14ac:dyDescent="0.35">
      <c r="A7" s="34" t="str">
        <f t="shared" si="0"/>
        <v>Sto_WW_OT</v>
      </c>
      <c r="B7" s="34" t="s">
        <v>17</v>
      </c>
      <c r="C7" s="34" t="s">
        <v>19</v>
      </c>
      <c r="D7" s="34" t="s">
        <v>20</v>
      </c>
      <c r="E7" s="34" t="s">
        <v>21</v>
      </c>
      <c r="F7" s="34" t="s">
        <v>35</v>
      </c>
      <c r="G7" s="34" t="s">
        <v>23</v>
      </c>
      <c r="H7" s="34">
        <v>2</v>
      </c>
      <c r="I7" s="32" t="b">
        <v>1</v>
      </c>
      <c r="J7" s="36">
        <v>6</v>
      </c>
      <c r="K7" s="36"/>
      <c r="L7" s="36"/>
      <c r="M7" s="34" t="s">
        <v>325</v>
      </c>
      <c r="N7" s="86"/>
    </row>
    <row r="8" spans="1:14" ht="22.5" customHeight="1" x14ac:dyDescent="0.35">
      <c r="A8" s="34" t="str">
        <f t="shared" si="0"/>
        <v>Sto_WW_OT</v>
      </c>
      <c r="B8" s="34" t="s">
        <v>17</v>
      </c>
      <c r="C8" s="34" t="s">
        <v>19</v>
      </c>
      <c r="D8" s="34" t="s">
        <v>20</v>
      </c>
      <c r="E8" s="34" t="s">
        <v>21</v>
      </c>
      <c r="F8" s="34" t="s">
        <v>35</v>
      </c>
      <c r="G8" s="34" t="s">
        <v>23</v>
      </c>
      <c r="H8" s="34">
        <v>2</v>
      </c>
      <c r="I8" s="32" t="b">
        <v>1</v>
      </c>
      <c r="J8" s="36">
        <v>7</v>
      </c>
      <c r="K8" s="36"/>
      <c r="L8" s="36"/>
      <c r="M8" s="34" t="s">
        <v>325</v>
      </c>
      <c r="N8" s="86"/>
    </row>
    <row r="9" spans="1:14" ht="22.5" customHeight="1" x14ac:dyDescent="0.35">
      <c r="A9" s="34" t="str">
        <f t="shared" si="0"/>
        <v>Sto_WW_OT</v>
      </c>
      <c r="B9" s="34" t="s">
        <v>17</v>
      </c>
      <c r="C9" s="34" t="s">
        <v>19</v>
      </c>
      <c r="D9" s="34" t="s">
        <v>20</v>
      </c>
      <c r="E9" s="34" t="s">
        <v>21</v>
      </c>
      <c r="F9" s="34" t="s">
        <v>35</v>
      </c>
      <c r="G9" s="34" t="s">
        <v>23</v>
      </c>
      <c r="H9" s="34">
        <v>2</v>
      </c>
      <c r="I9" s="32" t="b">
        <v>1</v>
      </c>
      <c r="J9" s="36">
        <v>8</v>
      </c>
      <c r="K9" s="36"/>
      <c r="L9" s="36"/>
      <c r="M9" s="34" t="s">
        <v>325</v>
      </c>
      <c r="N9" s="86"/>
    </row>
    <row r="10" spans="1:14" ht="22.5" customHeight="1" x14ac:dyDescent="0.35">
      <c r="A10" s="34" t="str">
        <f t="shared" si="0"/>
        <v>Wen_WS_OT</v>
      </c>
      <c r="B10" s="34" t="s">
        <v>17</v>
      </c>
      <c r="C10" s="34" t="s">
        <v>19</v>
      </c>
      <c r="D10" s="34" t="s">
        <v>39</v>
      </c>
      <c r="E10" s="34" t="s">
        <v>25</v>
      </c>
      <c r="F10" s="34" t="s">
        <v>35</v>
      </c>
      <c r="G10" s="34" t="s">
        <v>23</v>
      </c>
      <c r="H10" s="34">
        <v>2</v>
      </c>
      <c r="I10" s="32" t="b">
        <v>1</v>
      </c>
      <c r="J10" s="36">
        <v>9</v>
      </c>
      <c r="K10" s="36"/>
      <c r="L10" s="36"/>
      <c r="M10" s="34" t="s">
        <v>325</v>
      </c>
      <c r="N10" s="86"/>
    </row>
    <row r="11" spans="1:14" ht="22.5" customHeight="1" x14ac:dyDescent="0.35">
      <c r="A11" s="34" t="str">
        <f t="shared" si="0"/>
        <v>Wen_WS_OT</v>
      </c>
      <c r="B11" s="34" t="s">
        <v>17</v>
      </c>
      <c r="C11" s="34" t="s">
        <v>19</v>
      </c>
      <c r="D11" s="34" t="s">
        <v>39</v>
      </c>
      <c r="E11" s="34" t="s">
        <v>25</v>
      </c>
      <c r="F11" s="34" t="s">
        <v>35</v>
      </c>
      <c r="G11" s="34" t="s">
        <v>23</v>
      </c>
      <c r="H11" s="34">
        <v>2</v>
      </c>
      <c r="I11" s="32" t="b">
        <v>1</v>
      </c>
      <c r="J11" s="36">
        <v>10</v>
      </c>
      <c r="K11" s="36"/>
      <c r="L11" s="36"/>
      <c r="M11" s="34" t="s">
        <v>325</v>
      </c>
      <c r="N11" s="86"/>
    </row>
    <row r="12" spans="1:14" ht="22.5" customHeight="1" x14ac:dyDescent="0.35">
      <c r="A12" s="34" t="str">
        <f t="shared" si="0"/>
        <v>Wen_WS_OT</v>
      </c>
      <c r="B12" s="34" t="s">
        <v>17</v>
      </c>
      <c r="C12" s="34" t="s">
        <v>19</v>
      </c>
      <c r="D12" s="34" t="s">
        <v>39</v>
      </c>
      <c r="E12" s="34" t="s">
        <v>25</v>
      </c>
      <c r="F12" s="34" t="s">
        <v>35</v>
      </c>
      <c r="G12" s="34" t="s">
        <v>23</v>
      </c>
      <c r="H12" s="34">
        <v>2</v>
      </c>
      <c r="I12" s="32" t="b">
        <v>1</v>
      </c>
      <c r="J12" s="36">
        <v>11</v>
      </c>
      <c r="K12" s="36"/>
      <c r="L12" s="36"/>
      <c r="M12" s="34" t="s">
        <v>325</v>
      </c>
      <c r="N12" s="86"/>
    </row>
    <row r="13" spans="1:14" ht="22.5" customHeight="1" x14ac:dyDescent="0.35">
      <c r="A13" s="34" t="str">
        <f t="shared" si="0"/>
        <v>Wen_WS_OT</v>
      </c>
      <c r="B13" s="34" t="s">
        <v>17</v>
      </c>
      <c r="C13" s="34" t="s">
        <v>19</v>
      </c>
      <c r="D13" s="34" t="s">
        <v>39</v>
      </c>
      <c r="E13" s="34" t="s">
        <v>25</v>
      </c>
      <c r="F13" s="34" t="s">
        <v>35</v>
      </c>
      <c r="G13" s="34" t="s">
        <v>23</v>
      </c>
      <c r="H13" s="34">
        <v>2</v>
      </c>
      <c r="I13" s="32" t="b">
        <v>1</v>
      </c>
      <c r="J13" s="36">
        <v>12</v>
      </c>
      <c r="K13" s="36"/>
      <c r="L13" s="36"/>
      <c r="M13" s="34" t="s">
        <v>325</v>
      </c>
      <c r="N13" s="86"/>
    </row>
    <row r="14" spans="1:14" ht="22.5" customHeight="1" x14ac:dyDescent="0.35">
      <c r="A14" s="34" t="str">
        <f t="shared" si="0"/>
        <v>Sto_WS_OT</v>
      </c>
      <c r="B14" s="34" t="s">
        <v>17</v>
      </c>
      <c r="C14" s="34" t="s">
        <v>19</v>
      </c>
      <c r="D14" s="34" t="s">
        <v>39</v>
      </c>
      <c r="E14" s="34" t="s">
        <v>21</v>
      </c>
      <c r="F14" s="34" t="s">
        <v>35</v>
      </c>
      <c r="G14" s="34" t="s">
        <v>23</v>
      </c>
      <c r="H14" s="34">
        <v>2</v>
      </c>
      <c r="I14" s="32" t="b">
        <v>1</v>
      </c>
      <c r="J14" s="36">
        <v>13</v>
      </c>
      <c r="K14" s="36"/>
      <c r="L14" s="36"/>
      <c r="M14" s="34" t="s">
        <v>325</v>
      </c>
      <c r="N14" s="86"/>
    </row>
    <row r="15" spans="1:14" ht="22.5" customHeight="1" x14ac:dyDescent="0.35">
      <c r="A15" s="34" t="str">
        <f t="shared" si="0"/>
        <v>Sto_WS_OT</v>
      </c>
      <c r="B15" s="34" t="s">
        <v>17</v>
      </c>
      <c r="C15" s="34" t="s">
        <v>19</v>
      </c>
      <c r="D15" s="34" t="s">
        <v>39</v>
      </c>
      <c r="E15" s="34" t="s">
        <v>21</v>
      </c>
      <c r="F15" s="34" t="s">
        <v>35</v>
      </c>
      <c r="G15" s="34" t="s">
        <v>23</v>
      </c>
      <c r="H15" s="34">
        <v>2</v>
      </c>
      <c r="I15" s="32" t="b">
        <v>1</v>
      </c>
      <c r="J15" s="36">
        <v>14</v>
      </c>
      <c r="K15" s="36"/>
      <c r="L15" s="36"/>
      <c r="M15" s="34" t="s">
        <v>325</v>
      </c>
      <c r="N15" s="86"/>
    </row>
    <row r="16" spans="1:14" ht="22.5" customHeight="1" x14ac:dyDescent="0.35">
      <c r="A16" s="34" t="str">
        <f t="shared" si="0"/>
        <v>Sto_WS_OT</v>
      </c>
      <c r="B16" s="34" t="s">
        <v>17</v>
      </c>
      <c r="C16" s="34" t="s">
        <v>19</v>
      </c>
      <c r="D16" s="34" t="s">
        <v>39</v>
      </c>
      <c r="E16" s="34" t="s">
        <v>21</v>
      </c>
      <c r="F16" s="34" t="s">
        <v>35</v>
      </c>
      <c r="G16" s="34" t="s">
        <v>23</v>
      </c>
      <c r="H16" s="34">
        <v>2</v>
      </c>
      <c r="I16" s="32" t="b">
        <v>1</v>
      </c>
      <c r="J16" s="36">
        <v>15</v>
      </c>
      <c r="K16" s="36"/>
      <c r="L16" s="36"/>
      <c r="M16" s="34" t="s">
        <v>325</v>
      </c>
      <c r="N16" s="86"/>
    </row>
    <row r="17" spans="1:14" ht="22.5" customHeight="1" x14ac:dyDescent="0.35">
      <c r="A17" s="34" t="str">
        <f t="shared" si="0"/>
        <v>Sto_WS_OT</v>
      </c>
      <c r="B17" s="34" t="s">
        <v>17</v>
      </c>
      <c r="C17" s="34" t="s">
        <v>19</v>
      </c>
      <c r="D17" s="34" t="s">
        <v>39</v>
      </c>
      <c r="E17" s="34" t="s">
        <v>21</v>
      </c>
      <c r="F17" s="34" t="s">
        <v>35</v>
      </c>
      <c r="G17" s="34" t="s">
        <v>23</v>
      </c>
      <c r="H17" s="34">
        <v>2</v>
      </c>
      <c r="I17" s="32" t="b">
        <v>1</v>
      </c>
      <c r="J17" s="36">
        <v>16</v>
      </c>
      <c r="K17" s="36"/>
      <c r="L17" s="36"/>
      <c r="M17" s="34" t="s">
        <v>325</v>
      </c>
      <c r="N17" s="86"/>
    </row>
    <row r="18" spans="1:14" ht="22.5" customHeight="1" x14ac:dyDescent="0.35">
      <c r="A18" s="34" t="str">
        <f t="shared" si="0"/>
        <v>Wen_WW_HS</v>
      </c>
      <c r="B18" s="34" t="s">
        <v>117</v>
      </c>
      <c r="C18" s="34" t="s">
        <v>121</v>
      </c>
      <c r="D18" s="34" t="s">
        <v>20</v>
      </c>
      <c r="E18" s="34" t="s">
        <v>25</v>
      </c>
      <c r="F18" s="34" t="s">
        <v>35</v>
      </c>
      <c r="G18" s="34" t="s">
        <v>23</v>
      </c>
      <c r="H18" s="34">
        <v>2</v>
      </c>
      <c r="I18" s="32" t="b">
        <v>1</v>
      </c>
      <c r="J18" s="36">
        <v>17</v>
      </c>
      <c r="K18" s="36"/>
      <c r="L18" s="36"/>
      <c r="M18" s="34" t="s">
        <v>325</v>
      </c>
      <c r="N18" s="86"/>
    </row>
    <row r="19" spans="1:14" ht="22.5" customHeight="1" x14ac:dyDescent="0.35">
      <c r="A19" s="34" t="str">
        <f t="shared" si="0"/>
        <v>Wen_WW_HS</v>
      </c>
      <c r="B19" s="34" t="s">
        <v>117</v>
      </c>
      <c r="C19" s="34" t="s">
        <v>121</v>
      </c>
      <c r="D19" s="34" t="s">
        <v>20</v>
      </c>
      <c r="E19" s="34" t="s">
        <v>25</v>
      </c>
      <c r="F19" s="34" t="s">
        <v>35</v>
      </c>
      <c r="G19" s="34" t="s">
        <v>23</v>
      </c>
      <c r="H19" s="34">
        <v>2</v>
      </c>
      <c r="I19" s="32" t="b">
        <v>1</v>
      </c>
      <c r="J19" s="36">
        <v>18</v>
      </c>
      <c r="K19" s="36"/>
      <c r="L19" s="36"/>
      <c r="M19" s="34" t="s">
        <v>325</v>
      </c>
      <c r="N19" s="86"/>
    </row>
    <row r="20" spans="1:14" ht="22.5" customHeight="1" x14ac:dyDescent="0.35">
      <c r="A20" s="34" t="str">
        <f t="shared" si="0"/>
        <v>Wen_WW_HS</v>
      </c>
      <c r="B20" s="34" t="s">
        <v>117</v>
      </c>
      <c r="C20" s="34" t="s">
        <v>121</v>
      </c>
      <c r="D20" s="34" t="s">
        <v>20</v>
      </c>
      <c r="E20" s="34" t="s">
        <v>25</v>
      </c>
      <c r="F20" s="34" t="s">
        <v>35</v>
      </c>
      <c r="G20" s="34" t="s">
        <v>23</v>
      </c>
      <c r="H20" s="34">
        <v>2</v>
      </c>
      <c r="I20" s="32" t="b">
        <v>1</v>
      </c>
      <c r="J20" s="36">
        <v>19</v>
      </c>
      <c r="K20" s="36"/>
      <c r="L20" s="36"/>
      <c r="M20" s="34" t="s">
        <v>325</v>
      </c>
      <c r="N20" s="86"/>
    </row>
    <row r="21" spans="1:14" ht="22.5" customHeight="1" x14ac:dyDescent="0.35">
      <c r="A21" s="34" t="str">
        <f t="shared" si="0"/>
        <v>Wen_WW_HS</v>
      </c>
      <c r="B21" s="34" t="s">
        <v>117</v>
      </c>
      <c r="C21" s="34" t="s">
        <v>121</v>
      </c>
      <c r="D21" s="34" t="s">
        <v>20</v>
      </c>
      <c r="E21" s="34" t="s">
        <v>25</v>
      </c>
      <c r="F21" s="34" t="s">
        <v>35</v>
      </c>
      <c r="G21" s="34" t="s">
        <v>23</v>
      </c>
      <c r="H21" s="34">
        <v>2</v>
      </c>
      <c r="I21" s="32" t="b">
        <v>1</v>
      </c>
      <c r="J21" s="36">
        <v>20</v>
      </c>
      <c r="K21" s="36"/>
      <c r="L21" s="36"/>
      <c r="M21" s="34" t="s">
        <v>325</v>
      </c>
      <c r="N21" s="86"/>
    </row>
    <row r="22" spans="1:14" ht="22.5" customHeight="1" x14ac:dyDescent="0.35">
      <c r="A22" s="34" t="str">
        <f t="shared" si="0"/>
        <v>Sto_WW_HS</v>
      </c>
      <c r="B22" s="34" t="s">
        <v>117</v>
      </c>
      <c r="C22" s="34" t="s">
        <v>121</v>
      </c>
      <c r="D22" s="34" t="s">
        <v>20</v>
      </c>
      <c r="E22" s="34" t="s">
        <v>21</v>
      </c>
      <c r="F22" s="34" t="s">
        <v>35</v>
      </c>
      <c r="G22" s="34" t="s">
        <v>23</v>
      </c>
      <c r="H22" s="34">
        <v>2</v>
      </c>
      <c r="I22" s="32" t="b">
        <v>1</v>
      </c>
      <c r="J22" s="36">
        <v>21</v>
      </c>
      <c r="K22" s="36"/>
      <c r="L22" s="36"/>
      <c r="M22" s="34" t="s">
        <v>325</v>
      </c>
      <c r="N22" s="86"/>
    </row>
    <row r="23" spans="1:14" ht="22.5" customHeight="1" x14ac:dyDescent="0.35">
      <c r="A23" s="34" t="str">
        <f t="shared" si="0"/>
        <v>Sto_WW_HS</v>
      </c>
      <c r="B23" s="34" t="s">
        <v>117</v>
      </c>
      <c r="C23" s="34" t="s">
        <v>121</v>
      </c>
      <c r="D23" s="34" t="s">
        <v>20</v>
      </c>
      <c r="E23" s="34" t="s">
        <v>21</v>
      </c>
      <c r="F23" s="34" t="s">
        <v>35</v>
      </c>
      <c r="G23" s="34" t="s">
        <v>23</v>
      </c>
      <c r="H23" s="34">
        <v>2</v>
      </c>
      <c r="I23" s="32" t="b">
        <v>1</v>
      </c>
      <c r="J23" s="36">
        <v>22</v>
      </c>
      <c r="K23" s="36"/>
      <c r="L23" s="36"/>
      <c r="M23" s="34" t="s">
        <v>325</v>
      </c>
      <c r="N23" s="86"/>
    </row>
    <row r="24" spans="1:14" ht="22.5" customHeight="1" x14ac:dyDescent="0.35">
      <c r="A24" s="34" t="str">
        <f t="shared" si="0"/>
        <v>Sto_WW_HS</v>
      </c>
      <c r="B24" s="34" t="s">
        <v>117</v>
      </c>
      <c r="C24" s="34" t="s">
        <v>121</v>
      </c>
      <c r="D24" s="34" t="s">
        <v>20</v>
      </c>
      <c r="E24" s="34" t="s">
        <v>21</v>
      </c>
      <c r="F24" s="34" t="s">
        <v>35</v>
      </c>
      <c r="G24" s="34" t="s">
        <v>23</v>
      </c>
      <c r="H24" s="34">
        <v>2</v>
      </c>
      <c r="I24" s="32" t="b">
        <v>1</v>
      </c>
      <c r="J24" s="36">
        <v>23</v>
      </c>
      <c r="K24" s="36"/>
      <c r="L24" s="36"/>
      <c r="M24" s="34" t="s">
        <v>325</v>
      </c>
      <c r="N24" s="86"/>
    </row>
    <row r="25" spans="1:14" ht="22.5" customHeight="1" x14ac:dyDescent="0.35">
      <c r="A25" s="34" t="str">
        <f t="shared" si="0"/>
        <v>Sto_WW_HS</v>
      </c>
      <c r="B25" s="34" t="s">
        <v>117</v>
      </c>
      <c r="C25" s="34" t="s">
        <v>121</v>
      </c>
      <c r="D25" s="34" t="s">
        <v>20</v>
      </c>
      <c r="E25" s="34" t="s">
        <v>21</v>
      </c>
      <c r="F25" s="34" t="s">
        <v>35</v>
      </c>
      <c r="G25" s="34" t="s">
        <v>23</v>
      </c>
      <c r="H25" s="34">
        <v>2</v>
      </c>
      <c r="I25" s="32" t="b">
        <v>1</v>
      </c>
      <c r="J25" s="36">
        <v>24</v>
      </c>
      <c r="K25" s="36"/>
      <c r="L25" s="36"/>
      <c r="M25" s="34" t="s">
        <v>325</v>
      </c>
      <c r="N25" s="86"/>
    </row>
    <row r="26" spans="1:14" ht="22.5" customHeight="1" x14ac:dyDescent="0.35">
      <c r="A26" s="34" t="str">
        <f t="shared" si="0"/>
        <v>Sto_WS_HS</v>
      </c>
      <c r="B26" s="34" t="s">
        <v>117</v>
      </c>
      <c r="C26" s="34" t="s">
        <v>121</v>
      </c>
      <c r="D26" s="34" t="s">
        <v>39</v>
      </c>
      <c r="E26" s="34" t="s">
        <v>21</v>
      </c>
      <c r="F26" s="34" t="s">
        <v>35</v>
      </c>
      <c r="G26" s="34" t="s">
        <v>23</v>
      </c>
      <c r="H26" s="34">
        <v>2</v>
      </c>
      <c r="I26" s="32" t="b">
        <v>1</v>
      </c>
      <c r="J26" s="36">
        <v>25</v>
      </c>
      <c r="K26" s="36"/>
      <c r="L26" s="36"/>
      <c r="M26" s="34" t="s">
        <v>325</v>
      </c>
      <c r="N26" s="86"/>
    </row>
    <row r="27" spans="1:14" ht="22.5" customHeight="1" x14ac:dyDescent="0.35">
      <c r="A27" s="34" t="str">
        <f t="shared" si="0"/>
        <v>Sto_WS_HS</v>
      </c>
      <c r="B27" s="34" t="s">
        <v>117</v>
      </c>
      <c r="C27" s="34" t="s">
        <v>121</v>
      </c>
      <c r="D27" s="34" t="s">
        <v>39</v>
      </c>
      <c r="E27" s="34" t="s">
        <v>21</v>
      </c>
      <c r="F27" s="34" t="s">
        <v>35</v>
      </c>
      <c r="G27" s="34" t="s">
        <v>23</v>
      </c>
      <c r="H27" s="34">
        <v>2</v>
      </c>
      <c r="I27" s="32" t="b">
        <v>1</v>
      </c>
      <c r="J27" s="36">
        <v>26</v>
      </c>
      <c r="K27" s="36"/>
      <c r="L27" s="36"/>
      <c r="M27" s="34" t="s">
        <v>325</v>
      </c>
      <c r="N27" s="86"/>
    </row>
    <row r="28" spans="1:14" ht="22.5" customHeight="1" x14ac:dyDescent="0.35">
      <c r="A28" s="34" t="str">
        <f t="shared" si="0"/>
        <v>Sto_WS_HS</v>
      </c>
      <c r="B28" s="34" t="s">
        <v>117</v>
      </c>
      <c r="C28" s="34" t="s">
        <v>121</v>
      </c>
      <c r="D28" s="34" t="s">
        <v>39</v>
      </c>
      <c r="E28" s="34" t="s">
        <v>21</v>
      </c>
      <c r="F28" s="34" t="s">
        <v>35</v>
      </c>
      <c r="G28" s="34" t="s">
        <v>23</v>
      </c>
      <c r="H28" s="34">
        <v>2</v>
      </c>
      <c r="I28" s="32" t="b">
        <v>1</v>
      </c>
      <c r="J28" s="36">
        <v>27</v>
      </c>
      <c r="K28" s="36"/>
      <c r="L28" s="36"/>
      <c r="M28" s="34" t="s">
        <v>325</v>
      </c>
      <c r="N28" s="86"/>
    </row>
    <row r="29" spans="1:14" ht="22.5" customHeight="1" x14ac:dyDescent="0.35">
      <c r="A29" s="34" t="str">
        <f t="shared" si="0"/>
        <v>Sto_WS_HS</v>
      </c>
      <c r="B29" s="34" t="s">
        <v>117</v>
      </c>
      <c r="C29" s="34" t="s">
        <v>121</v>
      </c>
      <c r="D29" s="34" t="s">
        <v>39</v>
      </c>
      <c r="E29" s="34" t="s">
        <v>21</v>
      </c>
      <c r="F29" s="34" t="s">
        <v>35</v>
      </c>
      <c r="G29" s="34" t="s">
        <v>23</v>
      </c>
      <c r="H29" s="34">
        <v>2</v>
      </c>
      <c r="I29" s="32" t="b">
        <v>1</v>
      </c>
      <c r="J29" s="36">
        <v>28</v>
      </c>
      <c r="K29" s="36"/>
      <c r="L29" s="36"/>
      <c r="M29" s="34" t="s">
        <v>325</v>
      </c>
      <c r="N29" s="86"/>
    </row>
    <row r="30" spans="1:14" ht="22.5" customHeight="1" x14ac:dyDescent="0.35">
      <c r="A30" s="34" t="str">
        <f t="shared" si="0"/>
        <v>Wen_WS_HS</v>
      </c>
      <c r="B30" s="34" t="s">
        <v>117</v>
      </c>
      <c r="C30" s="34" t="s">
        <v>121</v>
      </c>
      <c r="D30" s="34" t="s">
        <v>39</v>
      </c>
      <c r="E30" s="34" t="s">
        <v>25</v>
      </c>
      <c r="F30" s="34" t="s">
        <v>35</v>
      </c>
      <c r="G30" s="34" t="s">
        <v>23</v>
      </c>
      <c r="H30" s="34">
        <v>2</v>
      </c>
      <c r="I30" s="32" t="b">
        <v>1</v>
      </c>
      <c r="J30" s="36">
        <v>29</v>
      </c>
      <c r="K30" s="36"/>
      <c r="L30" s="36"/>
      <c r="M30" s="34" t="s">
        <v>325</v>
      </c>
      <c r="N30" s="86"/>
    </row>
    <row r="31" spans="1:14" ht="22.5" customHeight="1" x14ac:dyDescent="0.35">
      <c r="A31" s="34" t="str">
        <f t="shared" si="0"/>
        <v>Wen_WS_HS</v>
      </c>
      <c r="B31" s="34" t="s">
        <v>117</v>
      </c>
      <c r="C31" s="34" t="s">
        <v>121</v>
      </c>
      <c r="D31" s="34" t="s">
        <v>39</v>
      </c>
      <c r="E31" s="34" t="s">
        <v>25</v>
      </c>
      <c r="F31" s="34" t="s">
        <v>35</v>
      </c>
      <c r="G31" s="34" t="s">
        <v>23</v>
      </c>
      <c r="H31" s="34">
        <v>2</v>
      </c>
      <c r="I31" s="32" t="b">
        <v>1</v>
      </c>
      <c r="J31" s="36">
        <v>30</v>
      </c>
      <c r="K31" s="36"/>
      <c r="L31" s="36"/>
      <c r="M31" s="34" t="s">
        <v>325</v>
      </c>
      <c r="N31" s="86"/>
    </row>
    <row r="32" spans="1:14" ht="22.5" customHeight="1" x14ac:dyDescent="0.35">
      <c r="A32" s="34" t="str">
        <f t="shared" si="0"/>
        <v>Wen_WS_HS</v>
      </c>
      <c r="B32" s="34" t="s">
        <v>117</v>
      </c>
      <c r="C32" s="34" t="s">
        <v>121</v>
      </c>
      <c r="D32" s="34" t="s">
        <v>39</v>
      </c>
      <c r="E32" s="34" t="s">
        <v>25</v>
      </c>
      <c r="F32" s="34" t="s">
        <v>35</v>
      </c>
      <c r="G32" s="34" t="s">
        <v>23</v>
      </c>
      <c r="H32" s="34">
        <v>2</v>
      </c>
      <c r="I32" s="32" t="b">
        <v>1</v>
      </c>
      <c r="J32" s="36">
        <v>31</v>
      </c>
      <c r="K32" s="36"/>
      <c r="L32" s="36"/>
      <c r="M32" s="34" t="s">
        <v>325</v>
      </c>
      <c r="N32" s="86"/>
    </row>
    <row r="33" spans="1:14" ht="22.5" customHeight="1" x14ac:dyDescent="0.35">
      <c r="A33" s="34" t="str">
        <f t="shared" si="0"/>
        <v>Wen_WS_HS</v>
      </c>
      <c r="B33" s="34" t="s">
        <v>117</v>
      </c>
      <c r="C33" s="34" t="s">
        <v>121</v>
      </c>
      <c r="D33" s="34" t="s">
        <v>39</v>
      </c>
      <c r="E33" s="34" t="s">
        <v>25</v>
      </c>
      <c r="F33" s="34" t="s">
        <v>35</v>
      </c>
      <c r="G33" s="34" t="s">
        <v>23</v>
      </c>
      <c r="H33" s="34">
        <v>2</v>
      </c>
      <c r="I33" s="32" t="b">
        <v>1</v>
      </c>
      <c r="J33" s="36">
        <v>32</v>
      </c>
      <c r="K33" s="36"/>
      <c r="L33" s="36"/>
      <c r="M33" s="34" t="s">
        <v>325</v>
      </c>
      <c r="N33" s="86"/>
    </row>
  </sheetData>
  <autoFilter ref="A1:M33" xr:uid="{9F6A7C53-B236-4589-860B-671AE30221E3}">
    <sortState xmlns:xlrd2="http://schemas.microsoft.com/office/spreadsheetml/2017/richdata2" ref="A2:M33">
      <sortCondition ref="J1:J33"/>
    </sortState>
  </autoFilter>
  <conditionalFormatting sqref="B1:B33">
    <cfRule type="containsText" dxfId="146" priority="20" operator="containsText" text="U3">
      <formula>NOT(ISERROR(SEARCH("U3",B1)))</formula>
    </cfRule>
  </conditionalFormatting>
  <conditionalFormatting sqref="C1:C33">
    <cfRule type="containsText" dxfId="145" priority="19" operator="containsText" text="HS">
      <formula>NOT(ISERROR(SEARCH("HS",C1)))</formula>
    </cfRule>
  </conditionalFormatting>
  <conditionalFormatting sqref="G1:G33">
    <cfRule type="containsText" dxfId="144" priority="16" operator="containsText" text="flux">
      <formula>NOT(ISERROR(SEARCH("flux",G1)))</formula>
    </cfRule>
    <cfRule type="containsText" dxfId="143" priority="17" operator="containsText" text="JEx">
      <formula>NOT(ISERROR(SEARCH("JEx",G1)))</formula>
    </cfRule>
    <cfRule type="containsText" dxfId="142" priority="18" operator="containsText" text="EB">
      <formula>NOT(ISERROR(SEARCH("EB",G1)))</formula>
    </cfRule>
  </conditionalFormatting>
  <conditionalFormatting sqref="F1:F33">
    <cfRule type="containsText" dxfId="141" priority="3" operator="containsText" text="BM">
      <formula>NOT(ISERROR(SEARCH("BM",F1)))</formula>
    </cfRule>
    <cfRule type="containsText" dxfId="140" priority="5" operator="containsText" text="exud">
      <formula>NOT(ISERROR(SEARCH("exud",F1)))</formula>
    </cfRule>
    <cfRule type="containsText" dxfId="139" priority="6" operator="containsText" text="jav">
      <formula>NOT(ISERROR(SEARCH("jav",F1)))</formula>
    </cfRule>
    <cfRule type="containsText" dxfId="138" priority="7" operator="containsText" text="eco">
      <formula>NOT(ISERROR(SEARCH("eco",F1)))</formula>
    </cfRule>
  </conditionalFormatting>
  <conditionalFormatting sqref="I2:I33">
    <cfRule type="containsText" dxfId="137" priority="4" operator="containsText" text="faux">
      <formula>NOT(ISERROR(SEARCH("faux",I2)))</formula>
    </cfRule>
  </conditionalFormatting>
  <conditionalFormatting sqref="I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3">
    <cfRule type="colorScale" priority="6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33">
    <cfRule type="colorScale" priority="673">
      <colorScale>
        <cfvo type="min"/>
        <cfvo type="max"/>
        <color theme="0"/>
        <color theme="5" tint="-0.249977111117893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1D0A-EED1-4C67-9203-0081843D296B}">
  <sheetPr filterMode="1">
    <pageSetUpPr fitToPage="1"/>
  </sheetPr>
  <dimension ref="A1:P289"/>
  <sheetViews>
    <sheetView view="pageLayout" zoomScaleNormal="85" workbookViewId="0">
      <selection activeCell="M255" sqref="A255:M255"/>
    </sheetView>
  </sheetViews>
  <sheetFormatPr baseColWidth="10" defaultRowHeight="14.5" x14ac:dyDescent="0.35"/>
  <cols>
    <col min="1" max="1" width="11.453125" style="151" customWidth="1"/>
    <col min="2" max="2" width="5.54296875" customWidth="1"/>
    <col min="3" max="3" width="5.453125" customWidth="1"/>
    <col min="4" max="4" width="11.453125" customWidth="1"/>
    <col min="5" max="5" width="2.81640625" customWidth="1"/>
    <col min="6" max="6" width="4.453125" customWidth="1"/>
    <col min="7" max="7" width="8.81640625" customWidth="1"/>
    <col min="9" max="9" width="11.453125" customWidth="1"/>
    <col min="10" max="10" width="7.1796875" customWidth="1"/>
    <col min="11" max="11" width="4.1796875" customWidth="1"/>
    <col min="13" max="13" width="7.54296875" customWidth="1"/>
    <col min="14" max="14" width="8.54296875" customWidth="1"/>
    <col min="15" max="15" width="5.26953125" customWidth="1"/>
    <col min="16" max="16" width="17.453125" style="40" customWidth="1"/>
  </cols>
  <sheetData>
    <row r="1" spans="1:16" x14ac:dyDescent="0.35">
      <c r="A1" s="151" t="s">
        <v>283</v>
      </c>
      <c r="B1" s="1" t="s">
        <v>2</v>
      </c>
      <c r="C1" s="1" t="s">
        <v>258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14</v>
      </c>
      <c r="N1" s="1" t="s">
        <v>321</v>
      </c>
      <c r="O1" s="1" t="s">
        <v>322</v>
      </c>
      <c r="P1" s="1" t="s">
        <v>899</v>
      </c>
    </row>
    <row r="2" spans="1:16" hidden="1" x14ac:dyDescent="0.35">
      <c r="A2" s="151" t="str">
        <f>LEFT(G2,3)&amp;"_"&amp;F2&amp;"_"&amp;E2</f>
        <v>Sto_WW_OT</v>
      </c>
      <c r="B2" s="3" t="s">
        <v>17</v>
      </c>
      <c r="C2" s="3">
        <v>1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>
        <v>1</v>
      </c>
      <c r="K2" s="3">
        <v>1</v>
      </c>
      <c r="L2" s="4">
        <v>44466</v>
      </c>
      <c r="M2" s="7">
        <f>C2</f>
        <v>1</v>
      </c>
      <c r="N2" s="7"/>
      <c r="O2" s="7"/>
      <c r="P2" s="7"/>
    </row>
    <row r="3" spans="1:16" hidden="1" x14ac:dyDescent="0.35">
      <c r="A3" s="151" t="str">
        <f t="shared" ref="A3:A5" si="0">LEFT(G3,3)&amp;"_"&amp;F3&amp;"_"&amp;E3</f>
        <v>Sto_WW_OT</v>
      </c>
      <c r="B3" s="3" t="s">
        <v>17</v>
      </c>
      <c r="C3" s="3">
        <v>1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>
        <v>1</v>
      </c>
      <c r="K3" s="3">
        <v>1</v>
      </c>
      <c r="L3" s="4">
        <v>44466</v>
      </c>
      <c r="M3" s="7">
        <v>2</v>
      </c>
      <c r="N3" s="7"/>
      <c r="O3" s="7"/>
      <c r="P3" s="7"/>
    </row>
    <row r="4" spans="1:16" x14ac:dyDescent="0.35">
      <c r="A4" s="151" t="str">
        <f t="shared" si="0"/>
        <v>Wen_WW_OT</v>
      </c>
      <c r="B4" s="3" t="s">
        <v>17</v>
      </c>
      <c r="C4" s="3">
        <v>3</v>
      </c>
      <c r="D4" s="3" t="s">
        <v>24</v>
      </c>
      <c r="E4" s="3" t="s">
        <v>19</v>
      </c>
      <c r="F4" s="3" t="s">
        <v>20</v>
      </c>
      <c r="G4" s="3" t="s">
        <v>25</v>
      </c>
      <c r="H4" s="3" t="s">
        <v>26</v>
      </c>
      <c r="I4" s="3" t="s">
        <v>27</v>
      </c>
      <c r="J4" s="3">
        <v>2</v>
      </c>
      <c r="K4" s="3">
        <v>1</v>
      </c>
      <c r="L4" s="4">
        <v>44483</v>
      </c>
      <c r="M4" s="7">
        <f>C4</f>
        <v>3</v>
      </c>
      <c r="N4" s="7"/>
      <c r="O4" s="7"/>
      <c r="P4" s="7"/>
    </row>
    <row r="5" spans="1:16" x14ac:dyDescent="0.35">
      <c r="A5" s="151" t="str">
        <f t="shared" si="0"/>
        <v>Wen_WW_OT</v>
      </c>
      <c r="B5" s="3" t="s">
        <v>17</v>
      </c>
      <c r="C5" s="3">
        <v>3</v>
      </c>
      <c r="D5" s="3" t="s">
        <v>24</v>
      </c>
      <c r="E5" s="3" t="s">
        <v>19</v>
      </c>
      <c r="F5" s="3" t="s">
        <v>20</v>
      </c>
      <c r="G5" s="3" t="s">
        <v>25</v>
      </c>
      <c r="H5" s="3" t="s">
        <v>28</v>
      </c>
      <c r="I5" s="3" t="s">
        <v>27</v>
      </c>
      <c r="J5" s="3">
        <v>2</v>
      </c>
      <c r="K5" s="3">
        <v>1</v>
      </c>
      <c r="L5" s="4">
        <v>44483</v>
      </c>
      <c r="M5" s="7">
        <v>4</v>
      </c>
      <c r="N5" s="7"/>
      <c r="O5" s="7"/>
      <c r="P5" s="7"/>
    </row>
    <row r="6" spans="1:16" x14ac:dyDescent="0.35">
      <c r="A6" s="151" t="str">
        <f t="shared" ref="A6:A69" si="1">LEFT(G6,3)&amp;"_"&amp;F6&amp;"_"&amp;E6</f>
        <v>Wen_WW_OT</v>
      </c>
      <c r="B6" s="3" t="s">
        <v>17</v>
      </c>
      <c r="C6" s="3">
        <v>15</v>
      </c>
      <c r="D6" s="3" t="s">
        <v>34</v>
      </c>
      <c r="E6" s="3" t="s">
        <v>19</v>
      </c>
      <c r="F6" s="3" t="s">
        <v>20</v>
      </c>
      <c r="G6" s="3" t="s">
        <v>25</v>
      </c>
      <c r="H6" s="3" t="s">
        <v>35</v>
      </c>
      <c r="I6" s="3" t="s">
        <v>23</v>
      </c>
      <c r="J6" s="3">
        <v>2</v>
      </c>
      <c r="K6" s="3">
        <v>2</v>
      </c>
      <c r="L6" s="4">
        <v>44481</v>
      </c>
      <c r="M6" s="7">
        <v>16</v>
      </c>
      <c r="N6" s="7">
        <v>1</v>
      </c>
      <c r="O6" s="7"/>
      <c r="P6" s="7"/>
    </row>
    <row r="7" spans="1:16" hidden="1" x14ac:dyDescent="0.35">
      <c r="A7" s="151" t="str">
        <f t="shared" si="1"/>
        <v>Sto_WW_OT</v>
      </c>
      <c r="B7" s="3" t="s">
        <v>17</v>
      </c>
      <c r="C7" s="3">
        <v>5</v>
      </c>
      <c r="D7" s="3" t="s">
        <v>29</v>
      </c>
      <c r="E7" s="3" t="s">
        <v>19</v>
      </c>
      <c r="F7" s="3" t="s">
        <v>20</v>
      </c>
      <c r="G7" s="3" t="s">
        <v>21</v>
      </c>
      <c r="H7" s="3"/>
      <c r="I7" s="3"/>
      <c r="J7" s="3"/>
      <c r="K7" s="3"/>
      <c r="L7" s="4"/>
      <c r="M7" s="7">
        <v>6</v>
      </c>
      <c r="N7" s="7"/>
      <c r="O7" s="7"/>
      <c r="P7" s="7"/>
    </row>
    <row r="8" spans="1:16" hidden="1" x14ac:dyDescent="0.35">
      <c r="A8" s="151" t="str">
        <f t="shared" si="1"/>
        <v>Wen_WW_OT</v>
      </c>
      <c r="B8" s="3" t="s">
        <v>17</v>
      </c>
      <c r="C8" s="3">
        <v>7</v>
      </c>
      <c r="D8" s="3" t="s">
        <v>30</v>
      </c>
      <c r="E8" s="3" t="s">
        <v>19</v>
      </c>
      <c r="F8" s="3" t="s">
        <v>20</v>
      </c>
      <c r="G8" s="3" t="s">
        <v>25</v>
      </c>
      <c r="H8" s="3" t="s">
        <v>22</v>
      </c>
      <c r="I8" s="3" t="s">
        <v>23</v>
      </c>
      <c r="J8" s="3">
        <v>1</v>
      </c>
      <c r="K8" s="3">
        <v>1</v>
      </c>
      <c r="L8" s="4">
        <v>44466</v>
      </c>
      <c r="M8" s="7">
        <f>C8</f>
        <v>7</v>
      </c>
      <c r="N8" s="7"/>
      <c r="O8" s="7"/>
      <c r="P8" s="7"/>
    </row>
    <row r="9" spans="1:16" hidden="1" x14ac:dyDescent="0.35">
      <c r="A9" s="151" t="str">
        <f t="shared" si="1"/>
        <v>Wen_WW_OT</v>
      </c>
      <c r="B9" s="3" t="s">
        <v>17</v>
      </c>
      <c r="C9" s="3">
        <v>7</v>
      </c>
      <c r="D9" s="3" t="s">
        <v>30</v>
      </c>
      <c r="E9" s="3" t="s">
        <v>19</v>
      </c>
      <c r="F9" s="3" t="s">
        <v>20</v>
      </c>
      <c r="G9" s="3" t="s">
        <v>25</v>
      </c>
      <c r="H9" s="3" t="s">
        <v>22</v>
      </c>
      <c r="I9" s="3" t="s">
        <v>23</v>
      </c>
      <c r="J9" s="3">
        <v>1</v>
      </c>
      <c r="K9" s="3">
        <v>1</v>
      </c>
      <c r="L9" s="4">
        <v>44466</v>
      </c>
      <c r="M9" s="7">
        <v>8</v>
      </c>
      <c r="N9" s="7"/>
      <c r="O9" s="7"/>
      <c r="P9" s="7"/>
    </row>
    <row r="10" spans="1:16" hidden="1" x14ac:dyDescent="0.35">
      <c r="A10" s="151" t="str">
        <f t="shared" si="1"/>
        <v>Sto_WW_OT</v>
      </c>
      <c r="B10" s="3" t="s">
        <v>17</v>
      </c>
      <c r="C10" s="3">
        <v>9</v>
      </c>
      <c r="D10" s="3" t="s">
        <v>31</v>
      </c>
      <c r="E10" s="3" t="s">
        <v>19</v>
      </c>
      <c r="F10" s="3" t="s">
        <v>20</v>
      </c>
      <c r="G10" s="3" t="s">
        <v>21</v>
      </c>
      <c r="H10" s="3" t="s">
        <v>26</v>
      </c>
      <c r="I10" s="3" t="s">
        <v>27</v>
      </c>
      <c r="J10" s="3">
        <v>2</v>
      </c>
      <c r="K10" s="3">
        <v>2</v>
      </c>
      <c r="L10" s="4">
        <v>44483</v>
      </c>
      <c r="M10" s="7">
        <f>C10</f>
        <v>9</v>
      </c>
      <c r="N10" s="7"/>
      <c r="O10" s="7"/>
      <c r="P10" s="7"/>
    </row>
    <row r="11" spans="1:16" hidden="1" x14ac:dyDescent="0.35">
      <c r="A11" s="151" t="str">
        <f t="shared" si="1"/>
        <v>Sto_WW_OT</v>
      </c>
      <c r="B11" s="3" t="s">
        <v>17</v>
      </c>
      <c r="C11" s="3">
        <v>9</v>
      </c>
      <c r="D11" s="3" t="s">
        <v>31</v>
      </c>
      <c r="E11" s="3" t="s">
        <v>19</v>
      </c>
      <c r="F11" s="3" t="s">
        <v>20</v>
      </c>
      <c r="G11" s="3" t="s">
        <v>21</v>
      </c>
      <c r="H11" s="3" t="s">
        <v>28</v>
      </c>
      <c r="I11" s="3" t="s">
        <v>27</v>
      </c>
      <c r="J11" s="3"/>
      <c r="K11" s="3">
        <v>2</v>
      </c>
      <c r="L11" s="4"/>
      <c r="M11" s="7">
        <v>10</v>
      </c>
      <c r="N11" s="7"/>
      <c r="O11" s="7"/>
      <c r="P11" s="7"/>
    </row>
    <row r="12" spans="1:16" hidden="1" x14ac:dyDescent="0.35">
      <c r="A12" s="151" t="str">
        <f t="shared" si="1"/>
        <v>Wen_WW_OT</v>
      </c>
      <c r="B12" s="3" t="s">
        <v>17</v>
      </c>
      <c r="C12" s="3">
        <v>11</v>
      </c>
      <c r="D12" s="3" t="s">
        <v>32</v>
      </c>
      <c r="E12" s="3" t="s">
        <v>19</v>
      </c>
      <c r="F12" s="3" t="s">
        <v>20</v>
      </c>
      <c r="G12" s="3" t="s">
        <v>25</v>
      </c>
      <c r="H12" s="3" t="s">
        <v>22</v>
      </c>
      <c r="I12" s="3" t="s">
        <v>23</v>
      </c>
      <c r="J12" s="3">
        <v>1</v>
      </c>
      <c r="K12" s="3">
        <v>2</v>
      </c>
      <c r="L12" s="4">
        <v>44466</v>
      </c>
      <c r="M12" s="7">
        <f>C12</f>
        <v>11</v>
      </c>
      <c r="N12" s="7"/>
      <c r="O12" s="7"/>
      <c r="P12" s="7"/>
    </row>
    <row r="13" spans="1:16" hidden="1" x14ac:dyDescent="0.35">
      <c r="A13" s="151" t="str">
        <f t="shared" si="1"/>
        <v>Wen_WW_OT</v>
      </c>
      <c r="B13" s="3" t="s">
        <v>17</v>
      </c>
      <c r="C13" s="3">
        <v>11</v>
      </c>
      <c r="D13" s="3" t="s">
        <v>32</v>
      </c>
      <c r="E13" s="3" t="s">
        <v>19</v>
      </c>
      <c r="F13" s="3" t="s">
        <v>20</v>
      </c>
      <c r="G13" s="3" t="s">
        <v>25</v>
      </c>
      <c r="H13" s="3" t="s">
        <v>22</v>
      </c>
      <c r="I13" s="3" t="s">
        <v>23</v>
      </c>
      <c r="J13" s="3">
        <v>1</v>
      </c>
      <c r="K13" s="3">
        <v>2</v>
      </c>
      <c r="L13" s="4">
        <v>44466</v>
      </c>
      <c r="M13" s="7">
        <v>12</v>
      </c>
      <c r="N13" s="7"/>
      <c r="O13" s="7"/>
      <c r="P13" s="7"/>
    </row>
    <row r="14" spans="1:16" hidden="1" x14ac:dyDescent="0.35">
      <c r="A14" s="151" t="str">
        <f t="shared" si="1"/>
        <v>Sto_WW_OT</v>
      </c>
      <c r="B14" s="3" t="s">
        <v>17</v>
      </c>
      <c r="C14" s="3">
        <v>13</v>
      </c>
      <c r="D14" s="3" t="s">
        <v>33</v>
      </c>
      <c r="E14" s="3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3">
        <v>1</v>
      </c>
      <c r="K14" s="3">
        <v>2</v>
      </c>
      <c r="L14" s="4">
        <v>44466</v>
      </c>
      <c r="M14" s="7">
        <f>C14</f>
        <v>13</v>
      </c>
      <c r="N14" s="7"/>
      <c r="O14" s="7"/>
      <c r="P14" s="7"/>
    </row>
    <row r="15" spans="1:16" hidden="1" x14ac:dyDescent="0.35">
      <c r="A15" s="151" t="str">
        <f t="shared" si="1"/>
        <v>Sto_WW_OT</v>
      </c>
      <c r="B15" s="3" t="s">
        <v>17</v>
      </c>
      <c r="C15" s="3">
        <v>13</v>
      </c>
      <c r="D15" s="3" t="s">
        <v>33</v>
      </c>
      <c r="E15" s="3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3">
        <v>1</v>
      </c>
      <c r="K15" s="3">
        <v>2</v>
      </c>
      <c r="L15" s="4">
        <v>44466</v>
      </c>
      <c r="M15" s="7">
        <v>14</v>
      </c>
      <c r="N15" s="7"/>
      <c r="O15" s="7"/>
      <c r="P15" s="7"/>
    </row>
    <row r="16" spans="1:16" x14ac:dyDescent="0.35">
      <c r="A16" s="151" t="str">
        <f t="shared" si="1"/>
        <v>Wen_WW_OT</v>
      </c>
      <c r="B16" s="3" t="s">
        <v>17</v>
      </c>
      <c r="C16" s="3">
        <v>15</v>
      </c>
      <c r="D16" s="3" t="s">
        <v>34</v>
      </c>
      <c r="E16" s="3" t="s">
        <v>19</v>
      </c>
      <c r="F16" s="3" t="s">
        <v>20</v>
      </c>
      <c r="G16" s="3" t="s">
        <v>25</v>
      </c>
      <c r="H16" s="3" t="s">
        <v>22</v>
      </c>
      <c r="I16" s="3" t="s">
        <v>23</v>
      </c>
      <c r="J16" s="3">
        <v>2</v>
      </c>
      <c r="K16" s="3">
        <v>2</v>
      </c>
      <c r="L16" s="4">
        <v>44481</v>
      </c>
      <c r="M16" s="7">
        <f>C16</f>
        <v>15</v>
      </c>
      <c r="N16" s="7"/>
      <c r="O16" s="7"/>
      <c r="P16" s="7"/>
    </row>
    <row r="17" spans="1:16" x14ac:dyDescent="0.35">
      <c r="A17" s="151" t="str">
        <f t="shared" si="1"/>
        <v>Wen_WW_OT</v>
      </c>
      <c r="B17" s="3" t="s">
        <v>17</v>
      </c>
      <c r="C17" s="3">
        <v>83</v>
      </c>
      <c r="D17" s="3" t="s">
        <v>80</v>
      </c>
      <c r="E17" s="3" t="s">
        <v>19</v>
      </c>
      <c r="F17" s="3" t="s">
        <v>20</v>
      </c>
      <c r="G17" s="3" t="s">
        <v>25</v>
      </c>
      <c r="H17" s="3" t="s">
        <v>35</v>
      </c>
      <c r="I17" s="3" t="s">
        <v>23</v>
      </c>
      <c r="J17" s="3">
        <v>2</v>
      </c>
      <c r="K17" s="3">
        <v>5</v>
      </c>
      <c r="L17" s="4">
        <v>44482</v>
      </c>
      <c r="M17" s="7">
        <v>84</v>
      </c>
      <c r="N17" s="7">
        <v>1</v>
      </c>
      <c r="O17" s="7"/>
      <c r="P17" s="7"/>
    </row>
    <row r="18" spans="1:16" hidden="1" x14ac:dyDescent="0.35">
      <c r="A18" s="151" t="str">
        <f t="shared" si="1"/>
        <v>Sto_WW_OT</v>
      </c>
      <c r="B18" s="3" t="s">
        <v>17</v>
      </c>
      <c r="C18" s="3">
        <v>17</v>
      </c>
      <c r="D18" s="3" t="s">
        <v>36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23</v>
      </c>
      <c r="J18" s="3">
        <v>2</v>
      </c>
      <c r="K18" s="3">
        <v>1</v>
      </c>
      <c r="L18" s="4">
        <v>44481</v>
      </c>
      <c r="M18" s="7">
        <f>C18</f>
        <v>17</v>
      </c>
      <c r="N18" s="7"/>
      <c r="O18" s="7"/>
      <c r="P18" s="7"/>
    </row>
    <row r="19" spans="1:16" x14ac:dyDescent="0.35">
      <c r="A19" s="151" t="str">
        <f t="shared" si="1"/>
        <v>Wen_WW_OT</v>
      </c>
      <c r="B19" s="3" t="s">
        <v>17</v>
      </c>
      <c r="C19" s="3">
        <v>29</v>
      </c>
      <c r="D19" s="3" t="s">
        <v>43</v>
      </c>
      <c r="E19" s="3" t="s">
        <v>19</v>
      </c>
      <c r="F19" s="3" t="s">
        <v>20</v>
      </c>
      <c r="G19" s="3" t="s">
        <v>25</v>
      </c>
      <c r="H19" s="3" t="s">
        <v>35</v>
      </c>
      <c r="I19" s="3" t="s">
        <v>23</v>
      </c>
      <c r="J19" s="3">
        <v>2</v>
      </c>
      <c r="K19" s="3">
        <v>2</v>
      </c>
      <c r="L19" s="4">
        <v>44481</v>
      </c>
      <c r="M19" s="7">
        <v>30</v>
      </c>
      <c r="N19" s="7">
        <v>2</v>
      </c>
      <c r="O19" s="7"/>
      <c r="P19" s="7"/>
    </row>
    <row r="20" spans="1:16" x14ac:dyDescent="0.35">
      <c r="A20" s="151" t="str">
        <f t="shared" si="1"/>
        <v>Wen_WW_OT</v>
      </c>
      <c r="B20" s="3" t="s">
        <v>17</v>
      </c>
      <c r="C20" s="3">
        <v>19</v>
      </c>
      <c r="D20" s="3" t="s">
        <v>37</v>
      </c>
      <c r="E20" s="3" t="s">
        <v>19</v>
      </c>
      <c r="F20" s="3" t="s">
        <v>20</v>
      </c>
      <c r="G20" s="3" t="s">
        <v>25</v>
      </c>
      <c r="H20" s="3" t="s">
        <v>22</v>
      </c>
      <c r="I20" s="3" t="s">
        <v>23</v>
      </c>
      <c r="J20" s="3">
        <v>2</v>
      </c>
      <c r="K20" s="3">
        <v>1</v>
      </c>
      <c r="L20" s="4">
        <v>44481</v>
      </c>
      <c r="M20" s="7">
        <f>C20</f>
        <v>19</v>
      </c>
      <c r="N20" s="7"/>
      <c r="O20" s="7"/>
      <c r="P20" s="7"/>
    </row>
    <row r="21" spans="1:16" x14ac:dyDescent="0.35">
      <c r="A21" s="151" t="str">
        <f t="shared" si="1"/>
        <v>Wen_WW_OT</v>
      </c>
      <c r="B21" s="3" t="s">
        <v>17</v>
      </c>
      <c r="C21" s="3">
        <v>131</v>
      </c>
      <c r="D21" s="3" t="s">
        <v>108</v>
      </c>
      <c r="E21" s="3" t="s">
        <v>19</v>
      </c>
      <c r="F21" s="3" t="s">
        <v>20</v>
      </c>
      <c r="G21" s="3" t="s">
        <v>25</v>
      </c>
      <c r="H21" s="3" t="s">
        <v>35</v>
      </c>
      <c r="I21" s="3" t="s">
        <v>23</v>
      </c>
      <c r="J21" s="3">
        <v>2</v>
      </c>
      <c r="K21" s="3">
        <v>8</v>
      </c>
      <c r="L21" s="4">
        <v>44483</v>
      </c>
      <c r="M21" s="7">
        <v>132</v>
      </c>
      <c r="N21" s="7">
        <v>2</v>
      </c>
      <c r="O21" s="7"/>
      <c r="P21" s="7"/>
    </row>
    <row r="22" spans="1:16" hidden="1" x14ac:dyDescent="0.35">
      <c r="A22" s="151" t="str">
        <f t="shared" si="1"/>
        <v>Wen_WS_OT</v>
      </c>
      <c r="B22" s="3" t="s">
        <v>17</v>
      </c>
      <c r="C22" s="3">
        <v>21</v>
      </c>
      <c r="D22" s="3" t="s">
        <v>38</v>
      </c>
      <c r="E22" s="3" t="s">
        <v>19</v>
      </c>
      <c r="F22" s="3" t="s">
        <v>39</v>
      </c>
      <c r="G22" s="3" t="s">
        <v>25</v>
      </c>
      <c r="H22" s="3" t="s">
        <v>26</v>
      </c>
      <c r="I22" s="3" t="s">
        <v>27</v>
      </c>
      <c r="J22" s="3">
        <v>2</v>
      </c>
      <c r="K22" s="3">
        <v>1</v>
      </c>
      <c r="L22" s="4">
        <v>44481</v>
      </c>
      <c r="M22" s="7">
        <f>C22</f>
        <v>21</v>
      </c>
      <c r="N22" s="7"/>
      <c r="O22" s="7"/>
      <c r="P22" s="7"/>
    </row>
    <row r="23" spans="1:16" hidden="1" x14ac:dyDescent="0.35">
      <c r="A23" s="151" t="str">
        <f t="shared" si="1"/>
        <v>Wen_WS_OT</v>
      </c>
      <c r="B23" s="3" t="s">
        <v>17</v>
      </c>
      <c r="C23" s="3">
        <v>21</v>
      </c>
      <c r="D23" s="3" t="s">
        <v>38</v>
      </c>
      <c r="E23" s="3" t="s">
        <v>19</v>
      </c>
      <c r="F23" s="3" t="s">
        <v>39</v>
      </c>
      <c r="G23" s="3" t="s">
        <v>25</v>
      </c>
      <c r="H23" s="3" t="s">
        <v>28</v>
      </c>
      <c r="I23" s="3" t="s">
        <v>27</v>
      </c>
      <c r="J23" s="3">
        <v>2</v>
      </c>
      <c r="K23" s="3">
        <v>1</v>
      </c>
      <c r="L23" s="4">
        <v>44481</v>
      </c>
      <c r="M23" s="7">
        <v>22</v>
      </c>
      <c r="N23" s="7"/>
      <c r="O23" s="7"/>
      <c r="P23" s="7"/>
    </row>
    <row r="24" spans="1:16" hidden="1" x14ac:dyDescent="0.35">
      <c r="A24" s="151" t="str">
        <f t="shared" si="1"/>
        <v>Wen_WS_OT</v>
      </c>
      <c r="B24" s="3" t="s">
        <v>17</v>
      </c>
      <c r="C24" s="3">
        <v>23</v>
      </c>
      <c r="D24" s="3" t="s">
        <v>40</v>
      </c>
      <c r="E24" s="3" t="s">
        <v>19</v>
      </c>
      <c r="F24" s="3" t="s">
        <v>39</v>
      </c>
      <c r="G24" s="3" t="s">
        <v>25</v>
      </c>
      <c r="H24" s="3" t="s">
        <v>22</v>
      </c>
      <c r="I24" s="3" t="s">
        <v>23</v>
      </c>
      <c r="J24" s="3">
        <v>2</v>
      </c>
      <c r="K24" s="3">
        <v>1</v>
      </c>
      <c r="L24" s="4">
        <v>44482</v>
      </c>
      <c r="M24" s="7">
        <f>C24</f>
        <v>23</v>
      </c>
      <c r="N24" s="7"/>
      <c r="O24" s="7"/>
      <c r="P24" s="7"/>
    </row>
    <row r="25" spans="1:16" x14ac:dyDescent="0.35">
      <c r="A25" s="151" t="str">
        <f t="shared" si="1"/>
        <v>Wen_WW_OT</v>
      </c>
      <c r="B25" s="3" t="s">
        <v>17</v>
      </c>
      <c r="C25" s="3">
        <v>55</v>
      </c>
      <c r="D25" s="3" t="s">
        <v>61</v>
      </c>
      <c r="E25" s="3" t="s">
        <v>19</v>
      </c>
      <c r="F25" s="3" t="s">
        <v>20</v>
      </c>
      <c r="G25" s="3" t="s">
        <v>25</v>
      </c>
      <c r="H25" s="3" t="s">
        <v>35</v>
      </c>
      <c r="I25" s="3" t="s">
        <v>23</v>
      </c>
      <c r="J25" s="3">
        <v>2</v>
      </c>
      <c r="K25" s="3"/>
      <c r="L25" s="4">
        <v>44482</v>
      </c>
      <c r="M25" s="7">
        <v>56</v>
      </c>
      <c r="N25" s="7">
        <v>3</v>
      </c>
      <c r="O25" s="7"/>
      <c r="P25" s="7"/>
    </row>
    <row r="26" spans="1:16" hidden="1" x14ac:dyDescent="0.35">
      <c r="A26" s="151" t="str">
        <f t="shared" si="1"/>
        <v>Sto_WS_OT</v>
      </c>
      <c r="B26" s="3" t="s">
        <v>17</v>
      </c>
      <c r="C26" s="3">
        <v>25</v>
      </c>
      <c r="D26" s="3" t="s">
        <v>41</v>
      </c>
      <c r="E26" s="3" t="s">
        <v>19</v>
      </c>
      <c r="F26" s="3" t="s">
        <v>39</v>
      </c>
      <c r="G26" s="3" t="s">
        <v>21</v>
      </c>
      <c r="H26" s="3" t="s">
        <v>22</v>
      </c>
      <c r="I26" s="3" t="s">
        <v>23</v>
      </c>
      <c r="J26" s="3">
        <v>2</v>
      </c>
      <c r="K26" s="3">
        <v>1</v>
      </c>
      <c r="L26" s="4">
        <v>44481</v>
      </c>
      <c r="M26" s="7">
        <f>C26</f>
        <v>25</v>
      </c>
      <c r="N26" s="7"/>
      <c r="O26" s="7"/>
      <c r="P26" s="7"/>
    </row>
    <row r="27" spans="1:16" x14ac:dyDescent="0.35">
      <c r="A27" s="151" t="str">
        <f t="shared" si="1"/>
        <v>Wen_WW_OT</v>
      </c>
      <c r="B27" s="3" t="s">
        <v>17</v>
      </c>
      <c r="C27" s="3">
        <v>111</v>
      </c>
      <c r="D27" s="3" t="s">
        <v>96</v>
      </c>
      <c r="E27" s="3" t="s">
        <v>19</v>
      </c>
      <c r="F27" s="3" t="s">
        <v>20</v>
      </c>
      <c r="G27" s="3" t="s">
        <v>25</v>
      </c>
      <c r="H27" s="3" t="s">
        <v>35</v>
      </c>
      <c r="I27" s="3" t="s">
        <v>23</v>
      </c>
      <c r="J27" s="3">
        <v>2</v>
      </c>
      <c r="K27" s="3">
        <v>7</v>
      </c>
      <c r="L27" s="4">
        <v>44483</v>
      </c>
      <c r="M27" s="7">
        <v>112</v>
      </c>
      <c r="N27" s="7">
        <v>3</v>
      </c>
      <c r="O27" s="7"/>
      <c r="P27" s="7"/>
    </row>
    <row r="28" spans="1:16" hidden="1" x14ac:dyDescent="0.35">
      <c r="A28" s="151" t="str">
        <f t="shared" si="1"/>
        <v>Sto_WW_OT</v>
      </c>
      <c r="B28" s="3" t="s">
        <v>17</v>
      </c>
      <c r="C28" s="3">
        <v>27</v>
      </c>
      <c r="D28" s="3" t="s">
        <v>42</v>
      </c>
      <c r="E28" s="3" t="s">
        <v>19</v>
      </c>
      <c r="F28" s="3" t="s">
        <v>20</v>
      </c>
      <c r="G28" s="3" t="s">
        <v>21</v>
      </c>
      <c r="H28" s="3" t="s">
        <v>22</v>
      </c>
      <c r="I28" s="3" t="s">
        <v>23</v>
      </c>
      <c r="J28" s="3">
        <v>2</v>
      </c>
      <c r="K28" s="3">
        <v>2</v>
      </c>
      <c r="L28" s="4">
        <v>44481</v>
      </c>
      <c r="M28" s="7">
        <f>C28</f>
        <v>27</v>
      </c>
      <c r="N28" s="7"/>
      <c r="O28" s="7"/>
      <c r="P28" s="7"/>
    </row>
    <row r="29" spans="1:16" x14ac:dyDescent="0.35">
      <c r="A29" s="151" t="str">
        <f t="shared" si="1"/>
        <v>Wen_WW_OT</v>
      </c>
      <c r="B29" s="3" t="s">
        <v>17</v>
      </c>
      <c r="C29" s="3">
        <v>19</v>
      </c>
      <c r="D29" s="3" t="s">
        <v>37</v>
      </c>
      <c r="E29" s="3" t="s">
        <v>19</v>
      </c>
      <c r="F29" s="3" t="s">
        <v>20</v>
      </c>
      <c r="G29" s="3" t="s">
        <v>25</v>
      </c>
      <c r="H29" s="3" t="s">
        <v>35</v>
      </c>
      <c r="I29" s="3" t="s">
        <v>23</v>
      </c>
      <c r="J29" s="3">
        <v>2</v>
      </c>
      <c r="K29" s="3">
        <v>1</v>
      </c>
      <c r="L29" s="4">
        <v>44481</v>
      </c>
      <c r="M29" s="7">
        <v>20</v>
      </c>
      <c r="N29" s="7">
        <v>4</v>
      </c>
      <c r="O29" s="7"/>
      <c r="P29" s="7"/>
    </row>
    <row r="30" spans="1:16" x14ac:dyDescent="0.35">
      <c r="A30" s="151" t="str">
        <f t="shared" si="1"/>
        <v>Wen_WW_OT</v>
      </c>
      <c r="B30" s="3" t="s">
        <v>17</v>
      </c>
      <c r="C30" s="3">
        <v>29</v>
      </c>
      <c r="D30" s="3" t="s">
        <v>43</v>
      </c>
      <c r="E30" s="3" t="s">
        <v>19</v>
      </c>
      <c r="F30" s="3" t="s">
        <v>20</v>
      </c>
      <c r="G30" s="3" t="s">
        <v>25</v>
      </c>
      <c r="H30" s="3" t="s">
        <v>22</v>
      </c>
      <c r="I30" s="3" t="s">
        <v>23</v>
      </c>
      <c r="J30" s="3">
        <v>2</v>
      </c>
      <c r="K30" s="3">
        <v>2</v>
      </c>
      <c r="L30" s="4">
        <v>44481</v>
      </c>
      <c r="M30" s="7">
        <f>C30</f>
        <v>29</v>
      </c>
      <c r="N30" s="7"/>
      <c r="O30" s="7"/>
      <c r="P30" s="7"/>
    </row>
    <row r="31" spans="1:16" x14ac:dyDescent="0.35">
      <c r="A31" s="151" t="str">
        <f t="shared" si="1"/>
        <v>Wen_WW_OT</v>
      </c>
      <c r="B31" s="3" t="s">
        <v>17</v>
      </c>
      <c r="C31" s="3">
        <v>137</v>
      </c>
      <c r="D31" s="3" t="s">
        <v>113</v>
      </c>
      <c r="E31" s="3" t="s">
        <v>19</v>
      </c>
      <c r="F31" s="3" t="s">
        <v>20</v>
      </c>
      <c r="G31" s="3" t="s">
        <v>25</v>
      </c>
      <c r="H31" s="3" t="s">
        <v>35</v>
      </c>
      <c r="I31" s="3" t="s">
        <v>23</v>
      </c>
      <c r="J31" s="3">
        <v>2</v>
      </c>
      <c r="K31" s="3">
        <v>3</v>
      </c>
      <c r="L31" s="4">
        <v>44483</v>
      </c>
      <c r="M31" s="7">
        <v>138</v>
      </c>
      <c r="N31" s="7">
        <v>4</v>
      </c>
      <c r="O31" s="7"/>
      <c r="P31" s="7"/>
    </row>
    <row r="32" spans="1:16" hidden="1" x14ac:dyDescent="0.35">
      <c r="A32" s="151" t="str">
        <f t="shared" si="1"/>
        <v>Sto_WW_OT</v>
      </c>
      <c r="B32" s="3" t="s">
        <v>17</v>
      </c>
      <c r="C32" s="3">
        <v>31</v>
      </c>
      <c r="D32" s="3" t="s">
        <v>44</v>
      </c>
      <c r="E32" s="3" t="s">
        <v>19</v>
      </c>
      <c r="F32" s="3" t="s">
        <v>20</v>
      </c>
      <c r="G32" s="3" t="s">
        <v>21</v>
      </c>
      <c r="H32" s="3" t="s">
        <v>26</v>
      </c>
      <c r="I32" s="3" t="s">
        <v>27</v>
      </c>
      <c r="J32" s="3">
        <v>2</v>
      </c>
      <c r="K32" s="3">
        <v>1</v>
      </c>
      <c r="L32" s="4">
        <v>44481</v>
      </c>
      <c r="M32" s="7">
        <f>C32</f>
        <v>31</v>
      </c>
      <c r="N32" s="7"/>
      <c r="O32" s="7"/>
      <c r="P32" s="7"/>
    </row>
    <row r="33" spans="1:16" hidden="1" x14ac:dyDescent="0.35">
      <c r="A33" s="151" t="str">
        <f t="shared" si="1"/>
        <v>Sto_WW_OT</v>
      </c>
      <c r="B33" s="3" t="s">
        <v>17</v>
      </c>
      <c r="C33" s="3">
        <v>31</v>
      </c>
      <c r="D33" s="3" t="s">
        <v>44</v>
      </c>
      <c r="E33" s="3" t="s">
        <v>19</v>
      </c>
      <c r="F33" s="3" t="s">
        <v>20</v>
      </c>
      <c r="G33" s="3" t="s">
        <v>21</v>
      </c>
      <c r="H33" s="3" t="s">
        <v>28</v>
      </c>
      <c r="I33" s="3" t="s">
        <v>27</v>
      </c>
      <c r="J33" s="3">
        <v>2</v>
      </c>
      <c r="K33" s="3">
        <v>1</v>
      </c>
      <c r="L33" s="4">
        <v>44481</v>
      </c>
      <c r="M33" s="7">
        <v>32</v>
      </c>
      <c r="N33" s="7"/>
      <c r="O33" s="7"/>
      <c r="P33" s="7"/>
    </row>
    <row r="34" spans="1:16" hidden="1" x14ac:dyDescent="0.35">
      <c r="A34" s="151" t="str">
        <f t="shared" si="1"/>
        <v>Wen_WS_OT</v>
      </c>
      <c r="B34" s="3" t="s">
        <v>17</v>
      </c>
      <c r="C34" s="3">
        <v>33</v>
      </c>
      <c r="D34" s="3" t="s">
        <v>45</v>
      </c>
      <c r="E34" s="3" t="s">
        <v>19</v>
      </c>
      <c r="F34" s="3" t="s">
        <v>39</v>
      </c>
      <c r="G34" s="3" t="s">
        <v>25</v>
      </c>
      <c r="H34" s="3" t="s">
        <v>22</v>
      </c>
      <c r="I34" s="3" t="s">
        <v>23</v>
      </c>
      <c r="J34" s="3">
        <v>2</v>
      </c>
      <c r="K34" s="3">
        <v>2</v>
      </c>
      <c r="L34" s="4">
        <v>44481</v>
      </c>
      <c r="M34" s="7">
        <f>C34</f>
        <v>33</v>
      </c>
      <c r="N34" s="7"/>
      <c r="O34" s="7"/>
      <c r="P34" s="7"/>
    </row>
    <row r="35" spans="1:16" hidden="1" x14ac:dyDescent="0.35">
      <c r="A35" s="151" t="str">
        <f t="shared" si="1"/>
        <v>Sto_WW_OT</v>
      </c>
      <c r="B35" s="3" t="s">
        <v>17</v>
      </c>
      <c r="C35" s="3">
        <v>17</v>
      </c>
      <c r="D35" s="3" t="s">
        <v>36</v>
      </c>
      <c r="E35" s="3" t="s">
        <v>19</v>
      </c>
      <c r="F35" s="3" t="s">
        <v>20</v>
      </c>
      <c r="G35" s="3" t="s">
        <v>21</v>
      </c>
      <c r="H35" s="3" t="s">
        <v>35</v>
      </c>
      <c r="I35" s="3" t="s">
        <v>23</v>
      </c>
      <c r="J35" s="3">
        <v>2</v>
      </c>
      <c r="K35" s="3">
        <v>1</v>
      </c>
      <c r="L35" s="4">
        <v>44481</v>
      </c>
      <c r="M35" s="7">
        <v>18</v>
      </c>
      <c r="N35" s="7">
        <v>5</v>
      </c>
      <c r="O35" s="7"/>
      <c r="P35" s="7"/>
    </row>
    <row r="36" spans="1:16" x14ac:dyDescent="0.35">
      <c r="A36" s="151" t="str">
        <f t="shared" si="1"/>
        <v>Wen_WW_OT</v>
      </c>
      <c r="B36" s="3" t="s">
        <v>17</v>
      </c>
      <c r="C36" s="3">
        <v>35</v>
      </c>
      <c r="D36" s="3" t="s">
        <v>46</v>
      </c>
      <c r="E36" s="3" t="s">
        <v>19</v>
      </c>
      <c r="F36" s="3" t="s">
        <v>20</v>
      </c>
      <c r="G36" s="3" t="s">
        <v>25</v>
      </c>
      <c r="H36" s="3" t="s">
        <v>26</v>
      </c>
      <c r="I36" s="3" t="s">
        <v>27</v>
      </c>
      <c r="J36" s="3">
        <v>2</v>
      </c>
      <c r="K36" s="3">
        <v>1</v>
      </c>
      <c r="L36" s="4">
        <v>44481</v>
      </c>
      <c r="M36" s="7">
        <f>C36</f>
        <v>35</v>
      </c>
      <c r="N36" s="7"/>
      <c r="O36" s="7"/>
      <c r="P36" s="7"/>
    </row>
    <row r="37" spans="1:16" x14ac:dyDescent="0.35">
      <c r="A37" s="151" t="str">
        <f t="shared" si="1"/>
        <v>Wen_WW_OT</v>
      </c>
      <c r="B37" s="3" t="s">
        <v>17</v>
      </c>
      <c r="C37" s="3">
        <v>35</v>
      </c>
      <c r="D37" s="3" t="s">
        <v>46</v>
      </c>
      <c r="E37" s="3" t="s">
        <v>19</v>
      </c>
      <c r="F37" s="3" t="s">
        <v>20</v>
      </c>
      <c r="G37" s="3" t="s">
        <v>25</v>
      </c>
      <c r="H37" s="3" t="s">
        <v>28</v>
      </c>
      <c r="I37" s="3" t="s">
        <v>27</v>
      </c>
      <c r="J37" s="3">
        <v>2</v>
      </c>
      <c r="K37" s="3">
        <v>1</v>
      </c>
      <c r="L37" s="4">
        <v>44481</v>
      </c>
      <c r="M37" s="7">
        <v>36</v>
      </c>
      <c r="N37" s="7"/>
      <c r="O37" s="7"/>
      <c r="P37" s="7"/>
    </row>
    <row r="38" spans="1:16" hidden="1" x14ac:dyDescent="0.35">
      <c r="A38" s="151" t="str">
        <f t="shared" si="1"/>
        <v>Sto_WS_OT</v>
      </c>
      <c r="B38" s="3" t="s">
        <v>17</v>
      </c>
      <c r="C38" s="3">
        <v>37</v>
      </c>
      <c r="D38" s="3" t="s">
        <v>47</v>
      </c>
      <c r="E38" s="3" t="s">
        <v>19</v>
      </c>
      <c r="F38" s="3" t="s">
        <v>39</v>
      </c>
      <c r="G38" s="3" t="s">
        <v>21</v>
      </c>
      <c r="H38" s="3" t="s">
        <v>22</v>
      </c>
      <c r="I38" s="3" t="s">
        <v>23</v>
      </c>
      <c r="J38" s="3">
        <v>2</v>
      </c>
      <c r="K38" s="3">
        <v>2</v>
      </c>
      <c r="L38" s="4">
        <v>44481</v>
      </c>
      <c r="M38" s="7">
        <f>C38</f>
        <v>37</v>
      </c>
      <c r="N38" s="7"/>
      <c r="O38" s="7"/>
      <c r="P38" s="7"/>
    </row>
    <row r="39" spans="1:16" hidden="1" x14ac:dyDescent="0.35">
      <c r="A39" s="151" t="str">
        <f t="shared" si="1"/>
        <v>Sto_WW_OT</v>
      </c>
      <c r="B39" s="3" t="s">
        <v>17</v>
      </c>
      <c r="C39" s="3">
        <v>139</v>
      </c>
      <c r="D39" s="3" t="s">
        <v>114</v>
      </c>
      <c r="E39" s="3" t="s">
        <v>19</v>
      </c>
      <c r="F39" s="3" t="s">
        <v>20</v>
      </c>
      <c r="G39" s="3" t="s">
        <v>21</v>
      </c>
      <c r="H39" s="3" t="s">
        <v>35</v>
      </c>
      <c r="I39" s="3" t="s">
        <v>27</v>
      </c>
      <c r="J39" s="3">
        <v>2</v>
      </c>
      <c r="K39" s="3">
        <v>3</v>
      </c>
      <c r="L39" s="4">
        <v>44483</v>
      </c>
      <c r="M39" s="7">
        <v>140</v>
      </c>
      <c r="N39" s="7">
        <v>5</v>
      </c>
      <c r="O39" s="7"/>
      <c r="P39" s="7"/>
    </row>
    <row r="40" spans="1:16" hidden="1" x14ac:dyDescent="0.35">
      <c r="A40" s="151" t="str">
        <f t="shared" si="1"/>
        <v>Sto_WW_OT</v>
      </c>
      <c r="B40" s="3" t="s">
        <v>17</v>
      </c>
      <c r="C40" s="3">
        <v>39</v>
      </c>
      <c r="D40" s="3" t="s">
        <v>48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23</v>
      </c>
      <c r="J40" s="3">
        <v>2</v>
      </c>
      <c r="K40" s="3">
        <v>3</v>
      </c>
      <c r="L40" s="4">
        <v>44481</v>
      </c>
      <c r="M40" s="7">
        <f>C40</f>
        <v>39</v>
      </c>
      <c r="N40" s="7"/>
      <c r="O40" s="7"/>
      <c r="P40" s="7"/>
    </row>
    <row r="41" spans="1:16" hidden="1" x14ac:dyDescent="0.35">
      <c r="A41" s="151" t="str">
        <f t="shared" si="1"/>
        <v>Sto_WW_OT</v>
      </c>
      <c r="B41" s="3" t="s">
        <v>17</v>
      </c>
      <c r="C41" s="3">
        <v>53</v>
      </c>
      <c r="D41" s="3" t="s">
        <v>60</v>
      </c>
      <c r="E41" s="3" t="s">
        <v>19</v>
      </c>
      <c r="F41" s="3" t="s">
        <v>20</v>
      </c>
      <c r="G41" s="3" t="s">
        <v>21</v>
      </c>
      <c r="H41" s="3" t="s">
        <v>35</v>
      </c>
      <c r="I41" s="3" t="s">
        <v>23</v>
      </c>
      <c r="J41" s="3">
        <v>2</v>
      </c>
      <c r="K41" s="3"/>
      <c r="L41" s="4">
        <v>44482</v>
      </c>
      <c r="M41" s="7">
        <v>54</v>
      </c>
      <c r="N41" s="7">
        <v>6</v>
      </c>
      <c r="O41" s="7"/>
      <c r="P41" s="7"/>
    </row>
    <row r="42" spans="1:16" hidden="1" x14ac:dyDescent="0.35">
      <c r="A42" s="151" t="str">
        <f t="shared" si="1"/>
        <v>Sto_WS_OT</v>
      </c>
      <c r="B42" s="3" t="s">
        <v>17</v>
      </c>
      <c r="C42" s="3">
        <v>41</v>
      </c>
      <c r="D42" s="3" t="s">
        <v>49</v>
      </c>
      <c r="E42" s="3" t="s">
        <v>19</v>
      </c>
      <c r="F42" s="3" t="s">
        <v>39</v>
      </c>
      <c r="G42" s="3" t="s">
        <v>21</v>
      </c>
      <c r="H42" s="3" t="s">
        <v>22</v>
      </c>
      <c r="I42" s="3" t="s">
        <v>23</v>
      </c>
      <c r="J42" s="3">
        <v>2</v>
      </c>
      <c r="K42" s="3">
        <v>3</v>
      </c>
      <c r="L42" s="4">
        <v>44481</v>
      </c>
      <c r="M42" s="7">
        <f>C42</f>
        <v>41</v>
      </c>
      <c r="N42" s="7"/>
      <c r="O42" s="7"/>
      <c r="P42" s="7"/>
    </row>
    <row r="43" spans="1:16" hidden="1" x14ac:dyDescent="0.35">
      <c r="A43" s="151" t="str">
        <f t="shared" si="1"/>
        <v>Sto_WW_OT</v>
      </c>
      <c r="B43" s="3" t="s">
        <v>17</v>
      </c>
      <c r="C43" s="3">
        <v>127</v>
      </c>
      <c r="D43" s="3" t="s">
        <v>106</v>
      </c>
      <c r="E43" s="3" t="s">
        <v>19</v>
      </c>
      <c r="F43" s="3" t="s">
        <v>20</v>
      </c>
      <c r="G43" s="3" t="s">
        <v>21</v>
      </c>
      <c r="H43" s="3" t="s">
        <v>35</v>
      </c>
      <c r="I43" s="3" t="s">
        <v>23</v>
      </c>
      <c r="J43" s="3">
        <v>2</v>
      </c>
      <c r="K43" s="3">
        <v>8</v>
      </c>
      <c r="L43" s="4">
        <v>44483</v>
      </c>
      <c r="M43" s="7">
        <v>128</v>
      </c>
      <c r="N43" s="7">
        <v>6</v>
      </c>
      <c r="O43" s="7"/>
      <c r="P43" s="7"/>
    </row>
    <row r="44" spans="1:16" x14ac:dyDescent="0.35">
      <c r="A44" s="151" t="str">
        <f t="shared" si="1"/>
        <v>Wen_WW_OT</v>
      </c>
      <c r="B44" s="3" t="s">
        <v>17</v>
      </c>
      <c r="C44" s="3">
        <v>43</v>
      </c>
      <c r="D44" s="3" t="s">
        <v>50</v>
      </c>
      <c r="E44" s="3" t="s">
        <v>19</v>
      </c>
      <c r="F44" s="3" t="s">
        <v>20</v>
      </c>
      <c r="G44" s="3" t="s">
        <v>25</v>
      </c>
      <c r="H44" s="3" t="s">
        <v>26</v>
      </c>
      <c r="I44" s="3" t="s">
        <v>23</v>
      </c>
      <c r="J44" s="3">
        <v>2</v>
      </c>
      <c r="K44" s="3">
        <v>3</v>
      </c>
      <c r="L44" s="4">
        <v>44483</v>
      </c>
      <c r="M44" s="7">
        <f>C44</f>
        <v>43</v>
      </c>
      <c r="N44" s="7"/>
      <c r="O44" s="7"/>
      <c r="P44" s="7"/>
    </row>
    <row r="45" spans="1:16" x14ac:dyDescent="0.35">
      <c r="A45" s="151" t="str">
        <f t="shared" si="1"/>
        <v>Wen_WW_OT</v>
      </c>
      <c r="B45" s="3" t="s">
        <v>17</v>
      </c>
      <c r="C45" s="3">
        <v>43</v>
      </c>
      <c r="D45" s="3" t="s">
        <v>50</v>
      </c>
      <c r="E45" s="3" t="s">
        <v>19</v>
      </c>
      <c r="F45" s="3" t="s">
        <v>20</v>
      </c>
      <c r="G45" s="3" t="s">
        <v>25</v>
      </c>
      <c r="H45" s="3"/>
      <c r="I45" s="3" t="s">
        <v>23</v>
      </c>
      <c r="J45" s="3"/>
      <c r="K45" s="3">
        <v>3</v>
      </c>
      <c r="L45" s="4"/>
      <c r="M45" s="7">
        <v>44</v>
      </c>
      <c r="N45" s="7"/>
      <c r="O45" s="7"/>
      <c r="P45" s="7"/>
    </row>
    <row r="46" spans="1:16" hidden="1" x14ac:dyDescent="0.35">
      <c r="A46" s="151" t="str">
        <f t="shared" si="1"/>
        <v>Sto_WS_OT</v>
      </c>
      <c r="B46" s="3" t="s">
        <v>17</v>
      </c>
      <c r="C46" s="3">
        <v>45</v>
      </c>
      <c r="D46" s="3" t="s">
        <v>53</v>
      </c>
      <c r="E46" s="3" t="s">
        <v>19</v>
      </c>
      <c r="F46" s="3" t="s">
        <v>39</v>
      </c>
      <c r="G46" s="3" t="s">
        <v>21</v>
      </c>
      <c r="H46" s="3"/>
      <c r="I46" s="3"/>
      <c r="J46" s="3"/>
      <c r="K46" s="3">
        <v>1</v>
      </c>
      <c r="L46" s="4"/>
      <c r="M46" s="7">
        <f>C46</f>
        <v>45</v>
      </c>
      <c r="N46" s="7"/>
      <c r="O46" s="7"/>
      <c r="P46" s="7"/>
    </row>
    <row r="47" spans="1:16" hidden="1" x14ac:dyDescent="0.35">
      <c r="A47" s="151" t="str">
        <f t="shared" si="1"/>
        <v>Sto_WW_OT</v>
      </c>
      <c r="B47" s="3" t="s">
        <v>17</v>
      </c>
      <c r="C47" s="3">
        <v>27</v>
      </c>
      <c r="D47" s="3" t="s">
        <v>42</v>
      </c>
      <c r="E47" s="3" t="s">
        <v>19</v>
      </c>
      <c r="F47" s="3" t="s">
        <v>20</v>
      </c>
      <c r="G47" s="3" t="s">
        <v>21</v>
      </c>
      <c r="H47" s="3" t="s">
        <v>35</v>
      </c>
      <c r="I47" s="3" t="s">
        <v>23</v>
      </c>
      <c r="J47" s="3">
        <v>2</v>
      </c>
      <c r="K47" s="3">
        <v>2</v>
      </c>
      <c r="L47" s="4">
        <v>44481</v>
      </c>
      <c r="M47" s="7">
        <v>28</v>
      </c>
      <c r="N47" s="7">
        <v>7</v>
      </c>
      <c r="O47" s="7"/>
      <c r="P47" s="7"/>
    </row>
    <row r="48" spans="1:16" hidden="1" x14ac:dyDescent="0.35">
      <c r="A48" s="151" t="str">
        <f t="shared" si="1"/>
        <v>Wen_WS_OT</v>
      </c>
      <c r="B48" s="3" t="s">
        <v>17</v>
      </c>
      <c r="C48" s="3">
        <v>47</v>
      </c>
      <c r="D48" s="3" t="s">
        <v>56</v>
      </c>
      <c r="E48" s="3" t="s">
        <v>19</v>
      </c>
      <c r="F48" s="3" t="s">
        <v>39</v>
      </c>
      <c r="G48" s="3" t="s">
        <v>25</v>
      </c>
      <c r="H48" s="3" t="s">
        <v>22</v>
      </c>
      <c r="I48" s="3" t="s">
        <v>23</v>
      </c>
      <c r="J48" s="3">
        <v>2</v>
      </c>
      <c r="K48" s="3">
        <v>3</v>
      </c>
      <c r="L48" s="4">
        <v>44482</v>
      </c>
      <c r="M48" s="7">
        <f>C48</f>
        <v>47</v>
      </c>
      <c r="N48" s="7"/>
      <c r="O48" s="7"/>
      <c r="P48" s="7"/>
    </row>
    <row r="49" spans="1:16" hidden="1" x14ac:dyDescent="0.35">
      <c r="A49" s="151" t="str">
        <f t="shared" si="1"/>
        <v>Sto_WW_OT</v>
      </c>
      <c r="B49" s="3" t="s">
        <v>17</v>
      </c>
      <c r="C49" s="3">
        <v>109</v>
      </c>
      <c r="D49" s="3" t="s">
        <v>95</v>
      </c>
      <c r="E49" s="3" t="s">
        <v>19</v>
      </c>
      <c r="F49" s="3" t="s">
        <v>20</v>
      </c>
      <c r="G49" s="3" t="s">
        <v>21</v>
      </c>
      <c r="H49" s="3" t="s">
        <v>35</v>
      </c>
      <c r="I49" s="3" t="s">
        <v>23</v>
      </c>
      <c r="J49" s="3">
        <v>2</v>
      </c>
      <c r="K49" s="3">
        <v>7</v>
      </c>
      <c r="L49" s="4">
        <v>44483</v>
      </c>
      <c r="M49" s="7">
        <v>110</v>
      </c>
      <c r="N49" s="7">
        <v>7</v>
      </c>
      <c r="O49" s="7"/>
      <c r="P49" s="7"/>
    </row>
    <row r="50" spans="1:16" hidden="1" x14ac:dyDescent="0.35">
      <c r="A50" s="151" t="str">
        <f t="shared" si="1"/>
        <v>Sto_WS_OT</v>
      </c>
      <c r="B50" s="3" t="s">
        <v>17</v>
      </c>
      <c r="C50" s="3">
        <v>49</v>
      </c>
      <c r="D50" s="3" t="s">
        <v>57</v>
      </c>
      <c r="E50" s="3" t="s">
        <v>19</v>
      </c>
      <c r="F50" s="3" t="s">
        <v>39</v>
      </c>
      <c r="G50" s="3" t="s">
        <v>21</v>
      </c>
      <c r="H50" s="3" t="s">
        <v>26</v>
      </c>
      <c r="I50" s="3" t="s">
        <v>23</v>
      </c>
      <c r="J50" s="3">
        <v>2</v>
      </c>
      <c r="K50" s="3"/>
      <c r="L50" s="4">
        <v>44481</v>
      </c>
      <c r="M50" s="7">
        <f>C50</f>
        <v>49</v>
      </c>
      <c r="N50" s="7"/>
      <c r="O50" s="7"/>
      <c r="P50" s="7"/>
    </row>
    <row r="51" spans="1:16" hidden="1" x14ac:dyDescent="0.35">
      <c r="A51" s="151" t="str">
        <f t="shared" si="1"/>
        <v>Sto_WS_OT</v>
      </c>
      <c r="B51" s="3" t="s">
        <v>17</v>
      </c>
      <c r="C51" s="3">
        <v>49</v>
      </c>
      <c r="D51" s="3" t="s">
        <v>57</v>
      </c>
      <c r="E51" s="3" t="s">
        <v>19</v>
      </c>
      <c r="F51" s="3" t="s">
        <v>39</v>
      </c>
      <c r="G51" s="3" t="s">
        <v>21</v>
      </c>
      <c r="H51" s="3" t="s">
        <v>28</v>
      </c>
      <c r="I51" s="3" t="s">
        <v>23</v>
      </c>
      <c r="J51" s="3">
        <v>2</v>
      </c>
      <c r="K51" s="3"/>
      <c r="L51" s="4">
        <v>44481</v>
      </c>
      <c r="M51" s="7">
        <v>50</v>
      </c>
      <c r="N51" s="7"/>
      <c r="O51" s="7"/>
      <c r="P51" s="7"/>
    </row>
    <row r="52" spans="1:16" hidden="1" x14ac:dyDescent="0.35">
      <c r="A52" s="151" t="str">
        <f t="shared" si="1"/>
        <v>Wen_WS_OT</v>
      </c>
      <c r="B52" s="3" t="s">
        <v>17</v>
      </c>
      <c r="C52" s="3">
        <v>51</v>
      </c>
      <c r="D52" s="3" t="s">
        <v>58</v>
      </c>
      <c r="E52" s="3" t="s">
        <v>19</v>
      </c>
      <c r="F52" s="3" t="s">
        <v>39</v>
      </c>
      <c r="G52" s="3" t="s">
        <v>25</v>
      </c>
      <c r="H52" s="3" t="s">
        <v>28</v>
      </c>
      <c r="I52" s="3"/>
      <c r="J52" s="3">
        <v>2</v>
      </c>
      <c r="K52" s="3"/>
      <c r="L52" s="4">
        <v>44483</v>
      </c>
      <c r="M52" s="7">
        <f>C52</f>
        <v>51</v>
      </c>
      <c r="N52" s="7"/>
      <c r="O52" s="7"/>
      <c r="P52" s="7"/>
    </row>
    <row r="53" spans="1:16" hidden="1" x14ac:dyDescent="0.35">
      <c r="A53" s="151" t="str">
        <f t="shared" si="1"/>
        <v>Wen_WS_OT</v>
      </c>
      <c r="B53" s="3" t="s">
        <v>17</v>
      </c>
      <c r="C53" s="3">
        <v>51</v>
      </c>
      <c r="D53" s="3" t="s">
        <v>58</v>
      </c>
      <c r="E53" s="3" t="s">
        <v>19</v>
      </c>
      <c r="F53" s="3" t="s">
        <v>39</v>
      </c>
      <c r="G53" s="3" t="s">
        <v>25</v>
      </c>
      <c r="H53" s="3" t="s">
        <v>28</v>
      </c>
      <c r="I53" s="3" t="s">
        <v>59</v>
      </c>
      <c r="J53" s="3">
        <v>2</v>
      </c>
      <c r="K53" s="3"/>
      <c r="L53" s="4">
        <v>44483</v>
      </c>
      <c r="M53" s="7">
        <v>52</v>
      </c>
      <c r="N53" s="7"/>
      <c r="O53" s="7"/>
      <c r="P53" s="7"/>
    </row>
    <row r="54" spans="1:16" hidden="1" x14ac:dyDescent="0.35">
      <c r="A54" s="151" t="str">
        <f t="shared" si="1"/>
        <v>Sto_WW_OT</v>
      </c>
      <c r="B54" s="3" t="s">
        <v>17</v>
      </c>
      <c r="C54" s="3">
        <v>53</v>
      </c>
      <c r="D54" s="3" t="s">
        <v>60</v>
      </c>
      <c r="E54" s="3" t="s">
        <v>19</v>
      </c>
      <c r="F54" s="3" t="s">
        <v>20</v>
      </c>
      <c r="G54" s="3" t="s">
        <v>21</v>
      </c>
      <c r="H54" s="3" t="s">
        <v>22</v>
      </c>
      <c r="I54" s="3" t="s">
        <v>23</v>
      </c>
      <c r="J54" s="3">
        <v>2</v>
      </c>
      <c r="K54" s="3"/>
      <c r="L54" s="4">
        <v>44482</v>
      </c>
      <c r="M54" s="7">
        <f>C54</f>
        <v>53</v>
      </c>
      <c r="N54" s="7"/>
      <c r="O54" s="7"/>
      <c r="P54" s="7"/>
    </row>
    <row r="55" spans="1:16" hidden="1" x14ac:dyDescent="0.35">
      <c r="A55" s="151" t="str">
        <f t="shared" si="1"/>
        <v>Sto_WW_OT</v>
      </c>
      <c r="B55" s="3" t="s">
        <v>17</v>
      </c>
      <c r="C55" s="3">
        <v>39</v>
      </c>
      <c r="D55" s="3" t="s">
        <v>48</v>
      </c>
      <c r="E55" s="3" t="s">
        <v>19</v>
      </c>
      <c r="F55" s="3" t="s">
        <v>20</v>
      </c>
      <c r="G55" s="3" t="s">
        <v>21</v>
      </c>
      <c r="H55" s="3" t="s">
        <v>35</v>
      </c>
      <c r="I55" s="3" t="s">
        <v>23</v>
      </c>
      <c r="J55" s="3">
        <v>2</v>
      </c>
      <c r="K55" s="3">
        <v>3</v>
      </c>
      <c r="L55" s="4">
        <v>44481</v>
      </c>
      <c r="M55" s="7">
        <v>40</v>
      </c>
      <c r="N55" s="7">
        <v>8</v>
      </c>
      <c r="O55" s="7"/>
      <c r="P55" s="7"/>
    </row>
    <row r="56" spans="1:16" x14ac:dyDescent="0.35">
      <c r="A56" s="151" t="str">
        <f t="shared" si="1"/>
        <v>Wen_WW_OT</v>
      </c>
      <c r="B56" s="3" t="s">
        <v>17</v>
      </c>
      <c r="C56" s="3">
        <v>55</v>
      </c>
      <c r="D56" s="3" t="s">
        <v>61</v>
      </c>
      <c r="E56" s="3" t="s">
        <v>19</v>
      </c>
      <c r="F56" s="3" t="s">
        <v>20</v>
      </c>
      <c r="G56" s="3" t="s">
        <v>25</v>
      </c>
      <c r="H56" s="3" t="s">
        <v>22</v>
      </c>
      <c r="I56" s="3" t="s">
        <v>23</v>
      </c>
      <c r="J56" s="3">
        <v>2</v>
      </c>
      <c r="K56" s="3"/>
      <c r="L56" s="4">
        <v>44482</v>
      </c>
      <c r="M56" s="7">
        <f>C56</f>
        <v>55</v>
      </c>
      <c r="N56" s="7"/>
      <c r="O56" s="7"/>
      <c r="P56" s="7"/>
    </row>
    <row r="57" spans="1:16" hidden="1" x14ac:dyDescent="0.35">
      <c r="A57" s="151" t="str">
        <f t="shared" si="1"/>
        <v>Sto_WW_OT</v>
      </c>
      <c r="B57" s="3" t="s">
        <v>17</v>
      </c>
      <c r="C57" s="3">
        <v>93</v>
      </c>
      <c r="D57" s="3" t="s">
        <v>85</v>
      </c>
      <c r="E57" s="3" t="s">
        <v>19</v>
      </c>
      <c r="F57" s="3" t="s">
        <v>20</v>
      </c>
      <c r="G57" s="3" t="s">
        <v>21</v>
      </c>
      <c r="H57" s="3" t="s">
        <v>35</v>
      </c>
      <c r="I57" s="3" t="s">
        <v>23</v>
      </c>
      <c r="J57" s="3">
        <v>2</v>
      </c>
      <c r="K57" s="3">
        <v>6</v>
      </c>
      <c r="L57" s="4">
        <v>44483</v>
      </c>
      <c r="M57" s="7">
        <v>94</v>
      </c>
      <c r="N57" s="7">
        <v>8</v>
      </c>
      <c r="O57" s="7"/>
      <c r="P57" s="7"/>
    </row>
    <row r="58" spans="1:16" hidden="1" x14ac:dyDescent="0.35">
      <c r="A58" s="151" t="str">
        <f t="shared" si="1"/>
        <v>Wen_WS_OT</v>
      </c>
      <c r="B58" s="3" t="s">
        <v>17</v>
      </c>
      <c r="C58" s="3">
        <v>71</v>
      </c>
      <c r="D58" s="3" t="s">
        <v>74</v>
      </c>
      <c r="E58" s="3" t="s">
        <v>19</v>
      </c>
      <c r="F58" s="3" t="s">
        <v>39</v>
      </c>
      <c r="G58" s="3" t="s">
        <v>25</v>
      </c>
      <c r="H58" s="3" t="s">
        <v>35</v>
      </c>
      <c r="I58" s="3" t="s">
        <v>23</v>
      </c>
      <c r="J58" s="3">
        <v>2</v>
      </c>
      <c r="K58" s="3">
        <v>4</v>
      </c>
      <c r="L58" s="4">
        <v>44482</v>
      </c>
      <c r="M58" s="7">
        <v>72</v>
      </c>
      <c r="N58" s="7">
        <v>9</v>
      </c>
      <c r="O58" s="7"/>
      <c r="P58" s="7"/>
    </row>
    <row r="59" spans="1:16" hidden="1" x14ac:dyDescent="0.35">
      <c r="A59" s="151" t="str">
        <f t="shared" si="1"/>
        <v>Wen_WS_OT</v>
      </c>
      <c r="B59" s="3" t="s">
        <v>17</v>
      </c>
      <c r="C59" s="3">
        <v>87</v>
      </c>
      <c r="D59" s="3" t="s">
        <v>82</v>
      </c>
      <c r="E59" s="3" t="s">
        <v>19</v>
      </c>
      <c r="F59" s="3" t="s">
        <v>39</v>
      </c>
      <c r="G59" s="3" t="s">
        <v>25</v>
      </c>
      <c r="H59" s="3" t="s">
        <v>35</v>
      </c>
      <c r="I59" s="3" t="s">
        <v>23</v>
      </c>
      <c r="J59" s="3">
        <v>2</v>
      </c>
      <c r="K59" s="3">
        <v>5</v>
      </c>
      <c r="L59" s="4">
        <v>44482</v>
      </c>
      <c r="M59" s="7">
        <v>88</v>
      </c>
      <c r="N59" s="7">
        <v>9</v>
      </c>
      <c r="O59" s="7"/>
      <c r="P59" s="7"/>
    </row>
    <row r="60" spans="1:16" hidden="1" x14ac:dyDescent="0.35">
      <c r="A60" s="151" t="str">
        <f t="shared" si="1"/>
        <v>Wen_WS_OT</v>
      </c>
      <c r="B60" s="3" t="s">
        <v>17</v>
      </c>
      <c r="C60" s="3">
        <v>59</v>
      </c>
      <c r="D60" s="3" t="s">
        <v>63</v>
      </c>
      <c r="E60" s="3" t="s">
        <v>19</v>
      </c>
      <c r="F60" s="3" t="s">
        <v>39</v>
      </c>
      <c r="G60" s="3" t="s">
        <v>25</v>
      </c>
      <c r="H60" s="3" t="s">
        <v>26</v>
      </c>
      <c r="I60" s="3" t="s">
        <v>27</v>
      </c>
      <c r="J60" s="3">
        <v>2</v>
      </c>
      <c r="K60" s="3"/>
      <c r="L60" s="4">
        <v>44481</v>
      </c>
      <c r="M60" s="7">
        <f>C60</f>
        <v>59</v>
      </c>
      <c r="N60" s="7"/>
      <c r="O60" s="7"/>
      <c r="P60" s="7"/>
    </row>
    <row r="61" spans="1:16" hidden="1" x14ac:dyDescent="0.35">
      <c r="A61" s="151" t="str">
        <f t="shared" si="1"/>
        <v>Wen_WS_OT</v>
      </c>
      <c r="B61" s="3" t="s">
        <v>17</v>
      </c>
      <c r="C61" s="3">
        <v>59</v>
      </c>
      <c r="D61" s="3" t="s">
        <v>63</v>
      </c>
      <c r="E61" s="3" t="s">
        <v>19</v>
      </c>
      <c r="F61" s="3" t="s">
        <v>39</v>
      </c>
      <c r="G61" s="3" t="s">
        <v>25</v>
      </c>
      <c r="H61" s="3" t="s">
        <v>28</v>
      </c>
      <c r="I61" s="3" t="s">
        <v>64</v>
      </c>
      <c r="J61" s="3">
        <v>2</v>
      </c>
      <c r="K61" s="3"/>
      <c r="L61" s="4">
        <v>44481</v>
      </c>
      <c r="M61" s="7">
        <v>60</v>
      </c>
      <c r="N61" s="7"/>
      <c r="O61" s="7"/>
      <c r="P61" s="7"/>
    </row>
    <row r="62" spans="1:16" hidden="1" x14ac:dyDescent="0.35">
      <c r="A62" s="151" t="str">
        <f t="shared" si="1"/>
        <v>Sto_WS_OT</v>
      </c>
      <c r="B62" s="3" t="s">
        <v>17</v>
      </c>
      <c r="C62" s="3">
        <v>61</v>
      </c>
      <c r="D62" s="3" t="s">
        <v>65</v>
      </c>
      <c r="E62" s="3" t="s">
        <v>19</v>
      </c>
      <c r="F62" s="3" t="s">
        <v>39</v>
      </c>
      <c r="G62" s="3" t="s">
        <v>21</v>
      </c>
      <c r="H62" s="3" t="s">
        <v>22</v>
      </c>
      <c r="I62" s="3" t="s">
        <v>23</v>
      </c>
      <c r="J62" s="3">
        <v>2</v>
      </c>
      <c r="K62" s="3">
        <v>4</v>
      </c>
      <c r="L62" s="4">
        <v>44481</v>
      </c>
      <c r="M62" s="7">
        <f>C62</f>
        <v>61</v>
      </c>
      <c r="N62" s="7"/>
      <c r="O62" s="7"/>
      <c r="P62" s="7"/>
    </row>
    <row r="63" spans="1:16" hidden="1" x14ac:dyDescent="0.35">
      <c r="A63" s="151" t="str">
        <f t="shared" si="1"/>
        <v>Wen_WS_OT</v>
      </c>
      <c r="B63" s="3" t="s">
        <v>17</v>
      </c>
      <c r="C63" s="3">
        <v>33</v>
      </c>
      <c r="D63" s="3" t="s">
        <v>45</v>
      </c>
      <c r="E63" s="3" t="s">
        <v>19</v>
      </c>
      <c r="F63" s="3" t="s">
        <v>39</v>
      </c>
      <c r="G63" s="3" t="s">
        <v>25</v>
      </c>
      <c r="H63" s="3" t="s">
        <v>35</v>
      </c>
      <c r="I63" s="3" t="s">
        <v>23</v>
      </c>
      <c r="J63" s="3">
        <v>2</v>
      </c>
      <c r="K63" s="3">
        <v>2</v>
      </c>
      <c r="L63" s="4">
        <v>44481</v>
      </c>
      <c r="M63" s="7">
        <v>34</v>
      </c>
      <c r="N63" s="7">
        <v>10</v>
      </c>
      <c r="O63" s="7"/>
      <c r="P63" s="7"/>
    </row>
    <row r="64" spans="1:16" hidden="1" x14ac:dyDescent="0.35">
      <c r="A64" s="151" t="str">
        <f t="shared" si="1"/>
        <v>Wen_WS_OT</v>
      </c>
      <c r="B64" s="3" t="s">
        <v>17</v>
      </c>
      <c r="C64" s="3">
        <v>103</v>
      </c>
      <c r="D64" s="3" t="s">
        <v>92</v>
      </c>
      <c r="E64" s="3" t="s">
        <v>19</v>
      </c>
      <c r="F64" s="3" t="s">
        <v>39</v>
      </c>
      <c r="G64" s="3" t="s">
        <v>25</v>
      </c>
      <c r="H64" s="3" t="s">
        <v>35</v>
      </c>
      <c r="I64" s="3" t="s">
        <v>23</v>
      </c>
      <c r="J64" s="3">
        <v>2</v>
      </c>
      <c r="K64" s="3">
        <v>7</v>
      </c>
      <c r="L64" s="4">
        <v>44483</v>
      </c>
      <c r="M64" s="7">
        <v>104</v>
      </c>
      <c r="N64" s="7">
        <v>10</v>
      </c>
      <c r="O64" s="7"/>
      <c r="P64" s="7"/>
    </row>
    <row r="65" spans="1:16" x14ac:dyDescent="0.35">
      <c r="A65" s="151" t="str">
        <f t="shared" si="1"/>
        <v>Wen_WW_OT</v>
      </c>
      <c r="B65" s="3" t="s">
        <v>17</v>
      </c>
      <c r="C65" s="3">
        <v>63</v>
      </c>
      <c r="D65" s="3" t="s">
        <v>66</v>
      </c>
      <c r="E65" s="3" t="s">
        <v>19</v>
      </c>
      <c r="F65" s="3" t="s">
        <v>20</v>
      </c>
      <c r="G65" s="3" t="s">
        <v>25</v>
      </c>
      <c r="H65" s="3" t="s">
        <v>28</v>
      </c>
      <c r="I65" s="3" t="s">
        <v>27</v>
      </c>
      <c r="J65" s="3"/>
      <c r="K65" s="3">
        <v>2</v>
      </c>
      <c r="L65" s="4"/>
      <c r="M65" s="7">
        <v>64</v>
      </c>
      <c r="N65" s="7"/>
      <c r="O65" s="7"/>
      <c r="P65" s="7"/>
    </row>
    <row r="66" spans="1:16" hidden="1" x14ac:dyDescent="0.35">
      <c r="A66" s="151" t="str">
        <f t="shared" si="1"/>
        <v>Sto_WW_OT</v>
      </c>
      <c r="B66" s="3" t="s">
        <v>17</v>
      </c>
      <c r="C66" s="3">
        <v>65</v>
      </c>
      <c r="D66" s="3" t="s">
        <v>69</v>
      </c>
      <c r="E66" s="3" t="s">
        <v>19</v>
      </c>
      <c r="F66" s="3" t="s">
        <v>20</v>
      </c>
      <c r="G66" s="3" t="s">
        <v>21</v>
      </c>
      <c r="H66" s="3" t="s">
        <v>26</v>
      </c>
      <c r="I66" s="3" t="s">
        <v>23</v>
      </c>
      <c r="J66" s="3">
        <v>2</v>
      </c>
      <c r="K66" s="3">
        <v>4</v>
      </c>
      <c r="L66" s="4">
        <v>44483</v>
      </c>
      <c r="M66" s="7">
        <f>C66</f>
        <v>65</v>
      </c>
      <c r="N66" s="7"/>
      <c r="O66" s="7"/>
      <c r="P66" s="7"/>
    </row>
    <row r="67" spans="1:16" hidden="1" x14ac:dyDescent="0.35">
      <c r="A67" s="151" t="str">
        <f t="shared" si="1"/>
        <v>Sto_WW_OT</v>
      </c>
      <c r="B67" s="3" t="s">
        <v>17</v>
      </c>
      <c r="C67" s="3">
        <v>65</v>
      </c>
      <c r="D67" s="3" t="s">
        <v>69</v>
      </c>
      <c r="E67" s="3" t="s">
        <v>19</v>
      </c>
      <c r="F67" s="3" t="s">
        <v>20</v>
      </c>
      <c r="G67" s="3" t="s">
        <v>21</v>
      </c>
      <c r="H67" s="3"/>
      <c r="I67" s="3"/>
      <c r="J67" s="3"/>
      <c r="K67" s="3">
        <v>4</v>
      </c>
      <c r="L67" s="4"/>
      <c r="M67" s="7">
        <v>66</v>
      </c>
      <c r="N67" s="7"/>
      <c r="O67" s="7"/>
      <c r="P67" s="7"/>
    </row>
    <row r="68" spans="1:16" x14ac:dyDescent="0.35">
      <c r="A68" s="151" t="str">
        <f t="shared" si="1"/>
        <v>Wen_WW_OT</v>
      </c>
      <c r="B68" s="3" t="s">
        <v>17</v>
      </c>
      <c r="C68" s="3">
        <v>67</v>
      </c>
      <c r="D68" s="3" t="s">
        <v>72</v>
      </c>
      <c r="E68" s="3" t="s">
        <v>19</v>
      </c>
      <c r="F68" s="3" t="s">
        <v>20</v>
      </c>
      <c r="G68" s="3" t="s">
        <v>25</v>
      </c>
      <c r="H68" s="3" t="s">
        <v>22</v>
      </c>
      <c r="I68" s="3" t="s">
        <v>23</v>
      </c>
      <c r="J68" s="3">
        <v>2</v>
      </c>
      <c r="K68" s="3">
        <v>4</v>
      </c>
      <c r="L68" s="4">
        <v>44482</v>
      </c>
      <c r="M68" s="7">
        <f>C68</f>
        <v>67</v>
      </c>
      <c r="N68" s="7"/>
      <c r="O68" s="7"/>
      <c r="P68" s="7"/>
    </row>
    <row r="69" spans="1:16" hidden="1" x14ac:dyDescent="0.35">
      <c r="A69" s="151" t="str">
        <f t="shared" si="1"/>
        <v>Wen_WS_OT</v>
      </c>
      <c r="B69" s="3" t="s">
        <v>17</v>
      </c>
      <c r="C69" s="3">
        <v>47</v>
      </c>
      <c r="D69" s="3" t="s">
        <v>56</v>
      </c>
      <c r="E69" s="3" t="s">
        <v>19</v>
      </c>
      <c r="F69" s="3" t="s">
        <v>39</v>
      </c>
      <c r="G69" s="3" t="s">
        <v>25</v>
      </c>
      <c r="H69" s="3" t="s">
        <v>35</v>
      </c>
      <c r="I69" s="3" t="s">
        <v>23</v>
      </c>
      <c r="J69" s="3">
        <v>2</v>
      </c>
      <c r="K69" s="3">
        <v>3</v>
      </c>
      <c r="L69" s="4">
        <v>44482</v>
      </c>
      <c r="M69" s="7">
        <v>48</v>
      </c>
      <c r="N69" s="7">
        <v>11</v>
      </c>
      <c r="O69" s="7"/>
      <c r="P69" s="7"/>
    </row>
    <row r="70" spans="1:16" hidden="1" x14ac:dyDescent="0.35">
      <c r="A70" s="151" t="str">
        <f t="shared" ref="A70:A133" si="2">LEFT(G70,3)&amp;"_"&amp;F70&amp;"_"&amp;E70</f>
        <v>Sto_WW_OT</v>
      </c>
      <c r="B70" s="3" t="s">
        <v>17</v>
      </c>
      <c r="C70" s="3">
        <v>69</v>
      </c>
      <c r="D70" s="3" t="s">
        <v>73</v>
      </c>
      <c r="E70" s="3" t="s">
        <v>19</v>
      </c>
      <c r="F70" s="3" t="s">
        <v>20</v>
      </c>
      <c r="G70" s="3" t="s">
        <v>21</v>
      </c>
      <c r="H70" s="3" t="s">
        <v>26</v>
      </c>
      <c r="I70" s="3" t="s">
        <v>27</v>
      </c>
      <c r="J70" s="3">
        <v>2</v>
      </c>
      <c r="K70" s="3">
        <v>2</v>
      </c>
      <c r="L70" s="4">
        <v>44481</v>
      </c>
      <c r="M70" s="7">
        <f>C70</f>
        <v>69</v>
      </c>
      <c r="N70" s="7"/>
      <c r="O70" s="7"/>
      <c r="P70" s="7"/>
    </row>
    <row r="71" spans="1:16" hidden="1" x14ac:dyDescent="0.35">
      <c r="A71" s="151" t="str">
        <f t="shared" si="2"/>
        <v>Sto_WW_OT</v>
      </c>
      <c r="B71" s="3" t="s">
        <v>17</v>
      </c>
      <c r="C71" s="3">
        <v>69</v>
      </c>
      <c r="D71" s="3" t="s">
        <v>73</v>
      </c>
      <c r="E71" s="3" t="s">
        <v>19</v>
      </c>
      <c r="F71" s="3" t="s">
        <v>20</v>
      </c>
      <c r="G71" s="3" t="s">
        <v>21</v>
      </c>
      <c r="H71" s="3" t="s">
        <v>28</v>
      </c>
      <c r="I71" s="3" t="s">
        <v>27</v>
      </c>
      <c r="J71" s="3">
        <v>2</v>
      </c>
      <c r="K71" s="3">
        <v>2</v>
      </c>
      <c r="L71" s="4">
        <v>44481</v>
      </c>
      <c r="M71" s="7">
        <v>70</v>
      </c>
      <c r="N71" s="7"/>
      <c r="O71" s="7"/>
      <c r="P71" s="7"/>
    </row>
    <row r="72" spans="1:16" hidden="1" x14ac:dyDescent="0.35">
      <c r="A72" s="151" t="str">
        <f t="shared" si="2"/>
        <v>Wen_WS_OT</v>
      </c>
      <c r="B72" s="3" t="s">
        <v>17</v>
      </c>
      <c r="C72" s="3">
        <v>71</v>
      </c>
      <c r="D72" s="3" t="s">
        <v>74</v>
      </c>
      <c r="E72" s="3" t="s">
        <v>19</v>
      </c>
      <c r="F72" s="3" t="s">
        <v>39</v>
      </c>
      <c r="G72" s="3" t="s">
        <v>25</v>
      </c>
      <c r="H72" s="3" t="s">
        <v>22</v>
      </c>
      <c r="I72" s="3" t="s">
        <v>23</v>
      </c>
      <c r="J72" s="3">
        <v>2</v>
      </c>
      <c r="K72" s="3">
        <v>4</v>
      </c>
      <c r="L72" s="4">
        <v>44482</v>
      </c>
      <c r="M72" s="7">
        <f>C72</f>
        <v>71</v>
      </c>
      <c r="N72" s="7"/>
      <c r="O72" s="7"/>
      <c r="P72" s="7"/>
    </row>
    <row r="73" spans="1:16" hidden="1" x14ac:dyDescent="0.35">
      <c r="A73" s="151" t="str">
        <f t="shared" si="2"/>
        <v>Wen_WS_OT</v>
      </c>
      <c r="B73" s="3" t="s">
        <v>17</v>
      </c>
      <c r="C73" s="3">
        <v>99</v>
      </c>
      <c r="D73" s="3" t="s">
        <v>90</v>
      </c>
      <c r="E73" s="3" t="s">
        <v>19</v>
      </c>
      <c r="F73" s="3" t="s">
        <v>39</v>
      </c>
      <c r="G73" s="3" t="s">
        <v>25</v>
      </c>
      <c r="H73" s="3" t="s">
        <v>35</v>
      </c>
      <c r="I73" s="3" t="s">
        <v>23</v>
      </c>
      <c r="J73" s="3">
        <v>2</v>
      </c>
      <c r="K73" s="3">
        <v>6</v>
      </c>
      <c r="L73" s="4">
        <v>44483</v>
      </c>
      <c r="M73" s="7">
        <v>100</v>
      </c>
      <c r="N73" s="7">
        <v>11</v>
      </c>
      <c r="O73" s="7"/>
      <c r="P73" s="7"/>
    </row>
    <row r="74" spans="1:16" hidden="1" x14ac:dyDescent="0.35">
      <c r="A74" s="151" t="str">
        <f t="shared" si="2"/>
        <v>Sto_WS_OT</v>
      </c>
      <c r="B74" s="3" t="s">
        <v>17</v>
      </c>
      <c r="C74" s="3">
        <v>73</v>
      </c>
      <c r="D74" s="3" t="s">
        <v>75</v>
      </c>
      <c r="E74" s="3" t="s">
        <v>19</v>
      </c>
      <c r="F74" s="3" t="s">
        <v>39</v>
      </c>
      <c r="G74" s="3" t="s">
        <v>21</v>
      </c>
      <c r="H74" s="3" t="s">
        <v>26</v>
      </c>
      <c r="I74" s="3" t="s">
        <v>27</v>
      </c>
      <c r="J74" s="3">
        <v>2</v>
      </c>
      <c r="K74" s="3">
        <v>2</v>
      </c>
      <c r="L74" s="4">
        <v>44481</v>
      </c>
      <c r="M74" s="7">
        <f>C74</f>
        <v>73</v>
      </c>
      <c r="N74" s="7"/>
      <c r="O74" s="7"/>
      <c r="P74" s="7"/>
    </row>
    <row r="75" spans="1:16" hidden="1" x14ac:dyDescent="0.35">
      <c r="A75" s="151" t="str">
        <f t="shared" si="2"/>
        <v>Sto_WS_OT</v>
      </c>
      <c r="B75" s="3" t="s">
        <v>17</v>
      </c>
      <c r="C75" s="3">
        <v>73</v>
      </c>
      <c r="D75" s="3" t="s">
        <v>75</v>
      </c>
      <c r="E75" s="3" t="s">
        <v>19</v>
      </c>
      <c r="F75" s="3" t="s">
        <v>39</v>
      </c>
      <c r="G75" s="3" t="s">
        <v>21</v>
      </c>
      <c r="H75" s="3" t="s">
        <v>28</v>
      </c>
      <c r="I75" s="3" t="s">
        <v>27</v>
      </c>
      <c r="J75" s="3">
        <v>2</v>
      </c>
      <c r="K75" s="3">
        <v>2</v>
      </c>
      <c r="L75" s="4">
        <v>44481</v>
      </c>
      <c r="M75" s="7">
        <v>74</v>
      </c>
      <c r="N75" s="7"/>
      <c r="O75" s="7"/>
      <c r="P75" s="7"/>
    </row>
    <row r="76" spans="1:16" hidden="1" x14ac:dyDescent="0.35">
      <c r="A76" s="151" t="str">
        <f t="shared" si="2"/>
        <v>Sto_WS_OT</v>
      </c>
      <c r="B76" s="3" t="s">
        <v>17</v>
      </c>
      <c r="C76" s="3">
        <v>75</v>
      </c>
      <c r="D76" s="3" t="s">
        <v>76</v>
      </c>
      <c r="E76" s="3" t="s">
        <v>19</v>
      </c>
      <c r="F76" s="3" t="s">
        <v>39</v>
      </c>
      <c r="G76" s="3" t="s">
        <v>21</v>
      </c>
      <c r="H76" s="3" t="s">
        <v>22</v>
      </c>
      <c r="I76" s="3" t="s">
        <v>23</v>
      </c>
      <c r="J76" s="3">
        <v>2</v>
      </c>
      <c r="K76" s="3">
        <v>5</v>
      </c>
      <c r="L76" s="4">
        <v>44482</v>
      </c>
      <c r="M76" s="7">
        <f>C76</f>
        <v>75</v>
      </c>
      <c r="N76" s="7"/>
      <c r="O76" s="7"/>
      <c r="P76" s="7"/>
    </row>
    <row r="77" spans="1:16" hidden="1" x14ac:dyDescent="0.35">
      <c r="A77" s="151" t="str">
        <f t="shared" si="2"/>
        <v>Wen_WS_OT</v>
      </c>
      <c r="B77" s="3" t="s">
        <v>17</v>
      </c>
      <c r="C77" s="3">
        <v>23</v>
      </c>
      <c r="D77" s="3" t="s">
        <v>40</v>
      </c>
      <c r="E77" s="3" t="s">
        <v>19</v>
      </c>
      <c r="F77" s="3" t="s">
        <v>39</v>
      </c>
      <c r="G77" s="3" t="s">
        <v>25</v>
      </c>
      <c r="H77" s="3" t="s">
        <v>35</v>
      </c>
      <c r="I77" s="3" t="s">
        <v>23</v>
      </c>
      <c r="J77" s="3">
        <v>2</v>
      </c>
      <c r="K77" s="3">
        <v>1</v>
      </c>
      <c r="L77" s="4">
        <v>44482</v>
      </c>
      <c r="M77" s="7">
        <v>24</v>
      </c>
      <c r="N77" s="7">
        <v>12</v>
      </c>
      <c r="O77" s="7"/>
      <c r="P77" s="7"/>
    </row>
    <row r="78" spans="1:16" hidden="1" x14ac:dyDescent="0.35">
      <c r="A78" s="151" t="str">
        <f t="shared" si="2"/>
        <v>Wen_WS_OT</v>
      </c>
      <c r="B78" s="3" t="s">
        <v>17</v>
      </c>
      <c r="C78" s="3">
        <v>77</v>
      </c>
      <c r="D78" s="3" t="s">
        <v>77</v>
      </c>
      <c r="E78" s="3" t="s">
        <v>19</v>
      </c>
      <c r="F78" s="3" t="s">
        <v>39</v>
      </c>
      <c r="G78" s="3" t="s">
        <v>25</v>
      </c>
      <c r="H78" s="3" t="s">
        <v>26</v>
      </c>
      <c r="I78" s="3" t="s">
        <v>27</v>
      </c>
      <c r="J78" s="3">
        <v>2</v>
      </c>
      <c r="K78" s="3">
        <v>2</v>
      </c>
      <c r="L78" s="4">
        <v>44481</v>
      </c>
      <c r="M78" s="7">
        <f>C78</f>
        <v>77</v>
      </c>
      <c r="N78" s="7"/>
      <c r="O78" s="7"/>
      <c r="P78" s="7"/>
    </row>
    <row r="79" spans="1:16" hidden="1" x14ac:dyDescent="0.35">
      <c r="A79" s="151" t="str">
        <f t="shared" si="2"/>
        <v>Wen_WS_OT</v>
      </c>
      <c r="B79" s="3" t="s">
        <v>17</v>
      </c>
      <c r="C79" s="3">
        <v>77</v>
      </c>
      <c r="D79" s="3" t="s">
        <v>77</v>
      </c>
      <c r="E79" s="3" t="s">
        <v>19</v>
      </c>
      <c r="F79" s="3" t="s">
        <v>39</v>
      </c>
      <c r="G79" s="3" t="s">
        <v>25</v>
      </c>
      <c r="H79" s="3" t="s">
        <v>28</v>
      </c>
      <c r="I79" s="3" t="s">
        <v>27</v>
      </c>
      <c r="J79" s="3">
        <v>2</v>
      </c>
      <c r="K79" s="3">
        <v>2</v>
      </c>
      <c r="L79" s="4">
        <v>44481</v>
      </c>
      <c r="M79" s="7">
        <v>78</v>
      </c>
      <c r="N79" s="7"/>
      <c r="O79" s="7"/>
      <c r="P79" s="7"/>
    </row>
    <row r="80" spans="1:16" hidden="1" x14ac:dyDescent="0.35">
      <c r="A80" s="151" t="str">
        <f t="shared" si="2"/>
        <v>Sto_WW_OT</v>
      </c>
      <c r="B80" s="3" t="s">
        <v>17</v>
      </c>
      <c r="C80" s="3">
        <v>79</v>
      </c>
      <c r="D80" s="3" t="s">
        <v>78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>
        <v>2</v>
      </c>
      <c r="K80" s="3">
        <v>5</v>
      </c>
      <c r="L80" s="4">
        <v>44482</v>
      </c>
      <c r="M80" s="7">
        <f>C80</f>
        <v>79</v>
      </c>
      <c r="N80" s="7"/>
      <c r="O80" s="7"/>
      <c r="P80" s="7"/>
    </row>
    <row r="81" spans="1:16" hidden="1" x14ac:dyDescent="0.35">
      <c r="A81" s="151" t="str">
        <f t="shared" si="2"/>
        <v>Wen_WS_OT</v>
      </c>
      <c r="B81" s="3" t="s">
        <v>17</v>
      </c>
      <c r="C81" s="3">
        <v>115</v>
      </c>
      <c r="D81" s="3" t="s">
        <v>100</v>
      </c>
      <c r="E81" s="3" t="s">
        <v>19</v>
      </c>
      <c r="F81" s="3" t="s">
        <v>39</v>
      </c>
      <c r="G81" s="3" t="s">
        <v>25</v>
      </c>
      <c r="H81" s="3" t="s">
        <v>35</v>
      </c>
      <c r="I81" s="3" t="s">
        <v>23</v>
      </c>
      <c r="J81" s="3">
        <v>2</v>
      </c>
      <c r="K81" s="3">
        <v>8</v>
      </c>
      <c r="L81" s="4">
        <v>44483</v>
      </c>
      <c r="M81" s="7">
        <v>116</v>
      </c>
      <c r="N81" s="7">
        <v>12</v>
      </c>
      <c r="O81" s="7"/>
      <c r="P81" s="7"/>
    </row>
    <row r="82" spans="1:16" hidden="1" x14ac:dyDescent="0.35">
      <c r="A82" s="151" t="str">
        <f t="shared" si="2"/>
        <v>Sto_WS_OT</v>
      </c>
      <c r="B82" s="3" t="s">
        <v>17</v>
      </c>
      <c r="C82" s="3">
        <v>81</v>
      </c>
      <c r="D82" s="3" t="s">
        <v>79</v>
      </c>
      <c r="E82" s="3" t="s">
        <v>19</v>
      </c>
      <c r="F82" s="3" t="s">
        <v>39</v>
      </c>
      <c r="G82" s="3" t="s">
        <v>21</v>
      </c>
      <c r="H82" s="3" t="s">
        <v>26</v>
      </c>
      <c r="I82" s="3" t="s">
        <v>27</v>
      </c>
      <c r="J82" s="3">
        <v>2</v>
      </c>
      <c r="K82" s="3">
        <v>3</v>
      </c>
      <c r="L82" s="4">
        <v>44482</v>
      </c>
      <c r="M82" s="7">
        <f>C82</f>
        <v>81</v>
      </c>
      <c r="N82" s="7"/>
      <c r="O82" s="7"/>
      <c r="P82" s="7"/>
    </row>
    <row r="83" spans="1:16" hidden="1" x14ac:dyDescent="0.35">
      <c r="A83" s="151" t="str">
        <f t="shared" si="2"/>
        <v>Sto_WS_OT</v>
      </c>
      <c r="B83" s="3" t="s">
        <v>17</v>
      </c>
      <c r="C83" s="3">
        <v>81</v>
      </c>
      <c r="D83" s="3" t="s">
        <v>79</v>
      </c>
      <c r="E83" s="3" t="s">
        <v>19</v>
      </c>
      <c r="F83" s="3" t="s">
        <v>39</v>
      </c>
      <c r="G83" s="3" t="s">
        <v>21</v>
      </c>
      <c r="H83" s="3" t="s">
        <v>28</v>
      </c>
      <c r="I83" s="3" t="s">
        <v>27</v>
      </c>
      <c r="J83" s="3">
        <v>2</v>
      </c>
      <c r="K83" s="3">
        <v>3</v>
      </c>
      <c r="L83" s="4">
        <v>44482</v>
      </c>
      <c r="M83" s="7">
        <v>82</v>
      </c>
      <c r="N83" s="7"/>
      <c r="O83" s="7"/>
      <c r="P83" s="7"/>
    </row>
    <row r="84" spans="1:16" x14ac:dyDescent="0.35">
      <c r="A84" s="151" t="str">
        <f t="shared" si="2"/>
        <v>Wen_WW_OT</v>
      </c>
      <c r="B84" s="3" t="s">
        <v>17</v>
      </c>
      <c r="C84" s="3">
        <v>83</v>
      </c>
      <c r="D84" s="3" t="s">
        <v>80</v>
      </c>
      <c r="E84" s="3" t="s">
        <v>19</v>
      </c>
      <c r="F84" s="3" t="s">
        <v>20</v>
      </c>
      <c r="G84" s="3" t="s">
        <v>25</v>
      </c>
      <c r="H84" s="3" t="s">
        <v>22</v>
      </c>
      <c r="I84" s="3" t="s">
        <v>23</v>
      </c>
      <c r="J84" s="3">
        <v>2</v>
      </c>
      <c r="K84" s="3">
        <v>5</v>
      </c>
      <c r="L84" s="4">
        <v>44482</v>
      </c>
      <c r="M84" s="7">
        <f>C84</f>
        <v>83</v>
      </c>
      <c r="N84" s="7"/>
      <c r="O84" s="7"/>
      <c r="P84" s="7"/>
    </row>
    <row r="85" spans="1:16" hidden="1" x14ac:dyDescent="0.35">
      <c r="A85" s="151" t="str">
        <f t="shared" si="2"/>
        <v>Sto_WS_OT</v>
      </c>
      <c r="B85" s="3" t="s">
        <v>17</v>
      </c>
      <c r="C85" s="3">
        <v>25</v>
      </c>
      <c r="D85" s="3" t="s">
        <v>41</v>
      </c>
      <c r="E85" s="3" t="s">
        <v>19</v>
      </c>
      <c r="F85" s="3" t="s">
        <v>39</v>
      </c>
      <c r="G85" s="3" t="s">
        <v>21</v>
      </c>
      <c r="H85" s="3" t="s">
        <v>35</v>
      </c>
      <c r="I85" s="3" t="s">
        <v>23</v>
      </c>
      <c r="J85" s="3">
        <v>2</v>
      </c>
      <c r="K85" s="3">
        <v>1</v>
      </c>
      <c r="L85" s="4">
        <v>44481</v>
      </c>
      <c r="M85" s="7">
        <v>26</v>
      </c>
      <c r="N85" s="7">
        <v>13</v>
      </c>
      <c r="O85" s="7"/>
      <c r="P85" s="7"/>
    </row>
    <row r="86" spans="1:16" hidden="1" x14ac:dyDescent="0.35">
      <c r="A86" s="151" t="str">
        <f t="shared" si="2"/>
        <v>Sto_WW_OT</v>
      </c>
      <c r="B86" s="3" t="s">
        <v>17</v>
      </c>
      <c r="C86" s="3">
        <v>85</v>
      </c>
      <c r="D86" s="3" t="s">
        <v>81</v>
      </c>
      <c r="E86" s="3" t="s">
        <v>19</v>
      </c>
      <c r="F86" s="3" t="s">
        <v>20</v>
      </c>
      <c r="G86" s="3" t="s">
        <v>21</v>
      </c>
      <c r="H86" s="3" t="s">
        <v>26</v>
      </c>
      <c r="I86" s="3" t="s">
        <v>27</v>
      </c>
      <c r="J86" s="3">
        <v>2</v>
      </c>
      <c r="K86" s="3">
        <v>3</v>
      </c>
      <c r="L86" s="4">
        <v>44482</v>
      </c>
      <c r="M86" s="7">
        <f>C86</f>
        <v>85</v>
      </c>
      <c r="N86" s="7"/>
      <c r="O86" s="7"/>
      <c r="P86" s="7"/>
    </row>
    <row r="87" spans="1:16" hidden="1" x14ac:dyDescent="0.35">
      <c r="A87" s="151" t="str">
        <f t="shared" si="2"/>
        <v>Sto_WW_OT</v>
      </c>
      <c r="B87" s="3" t="s">
        <v>17</v>
      </c>
      <c r="C87" s="3">
        <v>85</v>
      </c>
      <c r="D87" s="3" t="s">
        <v>81</v>
      </c>
      <c r="E87" s="3" t="s">
        <v>19</v>
      </c>
      <c r="F87" s="3" t="s">
        <v>20</v>
      </c>
      <c r="G87" s="3" t="s">
        <v>21</v>
      </c>
      <c r="H87" s="3" t="s">
        <v>28</v>
      </c>
      <c r="I87" s="3" t="s">
        <v>27</v>
      </c>
      <c r="J87" s="3">
        <v>2</v>
      </c>
      <c r="K87" s="3">
        <v>3</v>
      </c>
      <c r="L87" s="4">
        <v>44482</v>
      </c>
      <c r="M87" s="7">
        <v>86</v>
      </c>
      <c r="N87" s="7"/>
      <c r="O87" s="7"/>
      <c r="P87" s="7"/>
    </row>
    <row r="88" spans="1:16" hidden="1" x14ac:dyDescent="0.35">
      <c r="A88" s="151" t="str">
        <f t="shared" si="2"/>
        <v>Wen_WS_OT</v>
      </c>
      <c r="B88" s="3" t="s">
        <v>17</v>
      </c>
      <c r="C88" s="3">
        <v>87</v>
      </c>
      <c r="D88" s="3" t="s">
        <v>82</v>
      </c>
      <c r="E88" s="3" t="s">
        <v>19</v>
      </c>
      <c r="F88" s="3" t="s">
        <v>39</v>
      </c>
      <c r="G88" s="3" t="s">
        <v>25</v>
      </c>
      <c r="H88" s="3" t="s">
        <v>22</v>
      </c>
      <c r="I88" s="3" t="s">
        <v>23</v>
      </c>
      <c r="J88" s="3">
        <v>2</v>
      </c>
      <c r="K88" s="3">
        <v>5</v>
      </c>
      <c r="L88" s="4">
        <v>44482</v>
      </c>
      <c r="M88" s="7">
        <f>C88</f>
        <v>87</v>
      </c>
      <c r="N88" s="7"/>
      <c r="O88" s="7"/>
      <c r="P88" s="7"/>
    </row>
    <row r="89" spans="1:16" hidden="1" x14ac:dyDescent="0.35">
      <c r="A89" s="151" t="str">
        <f t="shared" si="2"/>
        <v>Sto_WS_OT</v>
      </c>
      <c r="B89" s="3" t="s">
        <v>17</v>
      </c>
      <c r="C89" s="3">
        <v>119</v>
      </c>
      <c r="D89" s="3" t="s">
        <v>102</v>
      </c>
      <c r="E89" s="3" t="s">
        <v>19</v>
      </c>
      <c r="F89" s="3" t="s">
        <v>39</v>
      </c>
      <c r="G89" s="3" t="s">
        <v>21</v>
      </c>
      <c r="H89" s="3" t="s">
        <v>35</v>
      </c>
      <c r="I89" s="3" t="s">
        <v>23</v>
      </c>
      <c r="J89" s="3">
        <v>2</v>
      </c>
      <c r="K89" s="3">
        <v>8</v>
      </c>
      <c r="L89" s="4">
        <v>44483</v>
      </c>
      <c r="M89" s="7">
        <v>120</v>
      </c>
      <c r="N89" s="7">
        <v>13</v>
      </c>
      <c r="O89" s="7"/>
      <c r="P89" s="7"/>
    </row>
    <row r="90" spans="1:16" x14ac:dyDescent="0.35">
      <c r="A90" s="151" t="str">
        <f t="shared" si="2"/>
        <v>Wen_WW_OT</v>
      </c>
      <c r="B90" s="3" t="s">
        <v>17</v>
      </c>
      <c r="C90" s="3">
        <v>89</v>
      </c>
      <c r="D90" s="3" t="s">
        <v>83</v>
      </c>
      <c r="E90" s="3" t="s">
        <v>19</v>
      </c>
      <c r="F90" s="3" t="s">
        <v>20</v>
      </c>
      <c r="G90" s="3" t="s">
        <v>25</v>
      </c>
      <c r="H90" s="3" t="s">
        <v>26</v>
      </c>
      <c r="I90" s="3" t="s">
        <v>27</v>
      </c>
      <c r="J90" s="3">
        <v>2</v>
      </c>
      <c r="K90" s="3">
        <v>3</v>
      </c>
      <c r="L90" s="4">
        <v>44482</v>
      </c>
      <c r="M90" s="7">
        <f>C90</f>
        <v>89</v>
      </c>
      <c r="N90" s="7"/>
      <c r="O90" s="7"/>
      <c r="P90" s="7"/>
    </row>
    <row r="91" spans="1:16" x14ac:dyDescent="0.35">
      <c r="A91" s="151" t="str">
        <f t="shared" si="2"/>
        <v>Wen_WW_OT</v>
      </c>
      <c r="B91" s="3" t="s">
        <v>17</v>
      </c>
      <c r="C91" s="3">
        <v>89</v>
      </c>
      <c r="D91" s="3" t="s">
        <v>83</v>
      </c>
      <c r="E91" s="3" t="s">
        <v>19</v>
      </c>
      <c r="F91" s="3" t="s">
        <v>20</v>
      </c>
      <c r="G91" s="3" t="s">
        <v>25</v>
      </c>
      <c r="H91" s="3" t="s">
        <v>28</v>
      </c>
      <c r="I91" s="3" t="s">
        <v>27</v>
      </c>
      <c r="J91" s="3">
        <v>2</v>
      </c>
      <c r="K91" s="3">
        <v>3</v>
      </c>
      <c r="L91" s="4">
        <v>44482</v>
      </c>
      <c r="M91" s="7">
        <v>90</v>
      </c>
      <c r="N91" s="7"/>
      <c r="O91" s="7"/>
      <c r="P91" s="7"/>
    </row>
    <row r="92" spans="1:16" hidden="1" x14ac:dyDescent="0.35">
      <c r="A92" s="151" t="str">
        <f t="shared" si="2"/>
        <v>Sto_WS_OT</v>
      </c>
      <c r="B92" s="3" t="s">
        <v>17</v>
      </c>
      <c r="C92" s="3">
        <v>91</v>
      </c>
      <c r="D92" s="3" t="s">
        <v>84</v>
      </c>
      <c r="E92" s="3" t="s">
        <v>19</v>
      </c>
      <c r="F92" s="3" t="s">
        <v>39</v>
      </c>
      <c r="G92" s="3" t="s">
        <v>21</v>
      </c>
      <c r="H92" s="3" t="s">
        <v>22</v>
      </c>
      <c r="I92" s="3" t="s">
        <v>23</v>
      </c>
      <c r="J92" s="3">
        <v>2</v>
      </c>
      <c r="K92" s="3">
        <v>6</v>
      </c>
      <c r="L92" s="4">
        <v>44482</v>
      </c>
      <c r="M92" s="7">
        <f>C92</f>
        <v>91</v>
      </c>
      <c r="N92" s="7"/>
      <c r="O92" s="7"/>
      <c r="P92" s="7"/>
    </row>
    <row r="93" spans="1:16" hidden="1" x14ac:dyDescent="0.35">
      <c r="A93" s="151" t="str">
        <f t="shared" si="2"/>
        <v>Sto_WS_OT</v>
      </c>
      <c r="B93" s="3" t="s">
        <v>17</v>
      </c>
      <c r="C93" s="3">
        <v>37</v>
      </c>
      <c r="D93" s="3" t="s">
        <v>47</v>
      </c>
      <c r="E93" s="3" t="s">
        <v>19</v>
      </c>
      <c r="F93" s="3" t="s">
        <v>39</v>
      </c>
      <c r="G93" s="3" t="s">
        <v>21</v>
      </c>
      <c r="H93" s="3" t="s">
        <v>35</v>
      </c>
      <c r="I93" s="3" t="s">
        <v>23</v>
      </c>
      <c r="J93" s="3">
        <v>2</v>
      </c>
      <c r="K93" s="3">
        <v>2</v>
      </c>
      <c r="L93" s="4">
        <v>44481</v>
      </c>
      <c r="M93" s="7">
        <v>38</v>
      </c>
      <c r="N93" s="7">
        <v>14</v>
      </c>
      <c r="O93" s="7"/>
      <c r="P93" s="7"/>
    </row>
    <row r="94" spans="1:16" hidden="1" x14ac:dyDescent="0.35">
      <c r="A94" s="151" t="str">
        <f t="shared" si="2"/>
        <v>Sto_WW_OT</v>
      </c>
      <c r="B94" s="3" t="s">
        <v>17</v>
      </c>
      <c r="C94" s="3">
        <v>93</v>
      </c>
      <c r="D94" s="3" t="s">
        <v>85</v>
      </c>
      <c r="E94" s="3" t="s">
        <v>19</v>
      </c>
      <c r="F94" s="3" t="s">
        <v>20</v>
      </c>
      <c r="G94" s="3" t="s">
        <v>21</v>
      </c>
      <c r="H94" s="3" t="s">
        <v>22</v>
      </c>
      <c r="I94" s="3" t="s">
        <v>23</v>
      </c>
      <c r="J94" s="3">
        <v>2</v>
      </c>
      <c r="K94" s="3">
        <v>6</v>
      </c>
      <c r="L94" s="4">
        <v>44483</v>
      </c>
      <c r="M94" s="7">
        <f>C94</f>
        <v>93</v>
      </c>
      <c r="N94" s="7"/>
      <c r="O94" s="7"/>
      <c r="P94" s="7"/>
    </row>
    <row r="95" spans="1:16" hidden="1" x14ac:dyDescent="0.35">
      <c r="A95" s="151" t="str">
        <f t="shared" si="2"/>
        <v>Sto_WS_OT</v>
      </c>
      <c r="B95" s="3" t="s">
        <v>17</v>
      </c>
      <c r="C95" s="3">
        <v>105</v>
      </c>
      <c r="D95" s="3" t="s">
        <v>93</v>
      </c>
      <c r="E95" s="3" t="s">
        <v>19</v>
      </c>
      <c r="F95" s="3" t="s">
        <v>39</v>
      </c>
      <c r="G95" s="3" t="s">
        <v>21</v>
      </c>
      <c r="H95" s="3" t="s">
        <v>35</v>
      </c>
      <c r="I95" s="3" t="s">
        <v>23</v>
      </c>
      <c r="J95" s="3">
        <v>2</v>
      </c>
      <c r="K95" s="3">
        <v>7</v>
      </c>
      <c r="L95" s="4">
        <v>44483</v>
      </c>
      <c r="M95" s="7">
        <v>106</v>
      </c>
      <c r="N95" s="7">
        <v>14</v>
      </c>
      <c r="O95" s="7"/>
      <c r="P95" s="7"/>
    </row>
    <row r="96" spans="1:16" hidden="1" x14ac:dyDescent="0.35">
      <c r="A96" s="151" t="str">
        <f t="shared" si="2"/>
        <v>Wen_WS_OT</v>
      </c>
      <c r="B96" s="3" t="s">
        <v>17</v>
      </c>
      <c r="C96" s="3">
        <v>95</v>
      </c>
      <c r="D96" s="3" t="s">
        <v>86</v>
      </c>
      <c r="E96" s="3" t="s">
        <v>19</v>
      </c>
      <c r="F96" s="3" t="s">
        <v>39</v>
      </c>
      <c r="G96" s="3" t="s">
        <v>25</v>
      </c>
      <c r="H96" s="3" t="s">
        <v>26</v>
      </c>
      <c r="I96" s="3" t="s">
        <v>27</v>
      </c>
      <c r="J96" s="3">
        <v>2</v>
      </c>
      <c r="K96" s="3">
        <v>3</v>
      </c>
      <c r="L96" s="4">
        <v>44482</v>
      </c>
      <c r="M96" s="7">
        <f>C96</f>
        <v>95</v>
      </c>
      <c r="N96" s="7"/>
      <c r="O96" s="7"/>
      <c r="P96" s="7"/>
    </row>
    <row r="97" spans="1:16" hidden="1" x14ac:dyDescent="0.35">
      <c r="A97" s="151" t="str">
        <f t="shared" si="2"/>
        <v>Wen_WS_OT</v>
      </c>
      <c r="B97" s="3" t="s">
        <v>17</v>
      </c>
      <c r="C97" s="3">
        <v>95</v>
      </c>
      <c r="D97" s="3" t="s">
        <v>86</v>
      </c>
      <c r="E97" s="3" t="s">
        <v>19</v>
      </c>
      <c r="F97" s="3" t="s">
        <v>39</v>
      </c>
      <c r="G97" s="3" t="s">
        <v>25</v>
      </c>
      <c r="H97" s="3" t="s">
        <v>28</v>
      </c>
      <c r="I97" s="3" t="s">
        <v>27</v>
      </c>
      <c r="J97" s="3">
        <v>2</v>
      </c>
      <c r="K97" s="3">
        <v>3</v>
      </c>
      <c r="L97" s="4">
        <v>44482</v>
      </c>
      <c r="M97" s="7">
        <v>96</v>
      </c>
      <c r="N97" s="7"/>
      <c r="O97" s="7"/>
      <c r="P97" s="7"/>
    </row>
    <row r="98" spans="1:16" x14ac:dyDescent="0.35">
      <c r="A98" s="151" t="str">
        <f t="shared" si="2"/>
        <v>Wen_WW_OT</v>
      </c>
      <c r="B98" s="3" t="s">
        <v>17</v>
      </c>
      <c r="C98" s="3">
        <v>97</v>
      </c>
      <c r="D98" s="3" t="s">
        <v>87</v>
      </c>
      <c r="E98" s="3" t="s">
        <v>19</v>
      </c>
      <c r="F98" s="3" t="s">
        <v>20</v>
      </c>
      <c r="G98" s="3" t="s">
        <v>25</v>
      </c>
      <c r="H98" s="3"/>
      <c r="I98" s="3"/>
      <c r="J98" s="3"/>
      <c r="K98" s="3">
        <v>6</v>
      </c>
      <c r="L98" s="4"/>
      <c r="M98" s="7">
        <f>C98</f>
        <v>97</v>
      </c>
      <c r="N98" s="7"/>
      <c r="O98" s="7"/>
      <c r="P98" s="7"/>
    </row>
    <row r="99" spans="1:16" hidden="1" x14ac:dyDescent="0.35">
      <c r="A99" s="151" t="str">
        <f t="shared" si="2"/>
        <v>Sto_WS_OT</v>
      </c>
      <c r="B99" s="3" t="s">
        <v>17</v>
      </c>
      <c r="C99" s="3">
        <v>41</v>
      </c>
      <c r="D99" s="3" t="s">
        <v>49</v>
      </c>
      <c r="E99" s="3" t="s">
        <v>19</v>
      </c>
      <c r="F99" s="3" t="s">
        <v>39</v>
      </c>
      <c r="G99" s="3" t="s">
        <v>21</v>
      </c>
      <c r="H99" s="3" t="s">
        <v>35</v>
      </c>
      <c r="I99" s="3" t="s">
        <v>23</v>
      </c>
      <c r="J99" s="3">
        <v>2</v>
      </c>
      <c r="K99" s="3">
        <v>3</v>
      </c>
      <c r="L99" s="4">
        <v>44481</v>
      </c>
      <c r="M99" s="7">
        <v>42</v>
      </c>
      <c r="N99" s="7">
        <v>15</v>
      </c>
      <c r="O99" s="7"/>
      <c r="P99" s="7"/>
    </row>
    <row r="100" spans="1:16" hidden="1" x14ac:dyDescent="0.35">
      <c r="A100" s="151" t="str">
        <f t="shared" si="2"/>
        <v>Wen_WS_OT</v>
      </c>
      <c r="B100" s="3" t="s">
        <v>17</v>
      </c>
      <c r="C100" s="3">
        <v>99</v>
      </c>
      <c r="D100" s="3" t="s">
        <v>90</v>
      </c>
      <c r="E100" s="3" t="s">
        <v>19</v>
      </c>
      <c r="F100" s="3" t="s">
        <v>39</v>
      </c>
      <c r="G100" s="3" t="s">
        <v>25</v>
      </c>
      <c r="H100" s="3" t="s">
        <v>22</v>
      </c>
      <c r="I100" s="3" t="s">
        <v>23</v>
      </c>
      <c r="J100" s="3">
        <v>2</v>
      </c>
      <c r="K100" s="3">
        <v>6</v>
      </c>
      <c r="L100" s="4">
        <v>44483</v>
      </c>
      <c r="M100" s="7">
        <f>C100</f>
        <v>99</v>
      </c>
      <c r="N100" s="7"/>
      <c r="O100" s="7"/>
      <c r="P100" s="7"/>
    </row>
    <row r="101" spans="1:16" hidden="1" x14ac:dyDescent="0.35">
      <c r="A101" s="151" t="str">
        <f t="shared" si="2"/>
        <v>Sto_WS_OT</v>
      </c>
      <c r="B101" s="3" t="s">
        <v>17</v>
      </c>
      <c r="C101" s="3">
        <v>91</v>
      </c>
      <c r="D101" s="3" t="s">
        <v>84</v>
      </c>
      <c r="E101" s="3" t="s">
        <v>19</v>
      </c>
      <c r="F101" s="3" t="s">
        <v>39</v>
      </c>
      <c r="G101" s="3" t="s">
        <v>21</v>
      </c>
      <c r="H101" s="3" t="s">
        <v>35</v>
      </c>
      <c r="I101" s="3" t="s">
        <v>23</v>
      </c>
      <c r="J101" s="3">
        <v>2</v>
      </c>
      <c r="K101" s="3">
        <v>6</v>
      </c>
      <c r="L101" s="4">
        <v>44482</v>
      </c>
      <c r="M101" s="7">
        <v>92</v>
      </c>
      <c r="N101" s="7">
        <v>15</v>
      </c>
      <c r="O101" s="7"/>
      <c r="P101" s="7"/>
    </row>
    <row r="102" spans="1:16" hidden="1" x14ac:dyDescent="0.35">
      <c r="A102" s="151" t="str">
        <f t="shared" si="2"/>
        <v>Sto_WW_OT</v>
      </c>
      <c r="B102" s="3" t="s">
        <v>17</v>
      </c>
      <c r="C102" s="3">
        <v>101</v>
      </c>
      <c r="D102" s="3" t="s">
        <v>91</v>
      </c>
      <c r="E102" s="3" t="s">
        <v>19</v>
      </c>
      <c r="F102" s="3" t="s">
        <v>20</v>
      </c>
      <c r="G102" s="3" t="s">
        <v>21</v>
      </c>
      <c r="H102" s="3" t="s">
        <v>26</v>
      </c>
      <c r="I102" s="3" t="s">
        <v>27</v>
      </c>
      <c r="J102" s="3">
        <v>2</v>
      </c>
      <c r="K102" s="3"/>
      <c r="L102" s="4">
        <v>44482</v>
      </c>
      <c r="M102" s="7">
        <f>C102</f>
        <v>101</v>
      </c>
      <c r="N102" s="7"/>
      <c r="O102" s="7"/>
      <c r="P102" s="7"/>
    </row>
    <row r="103" spans="1:16" hidden="1" x14ac:dyDescent="0.35">
      <c r="A103" s="151" t="str">
        <f t="shared" si="2"/>
        <v>Sto_WW_OT</v>
      </c>
      <c r="B103" s="3" t="s">
        <v>17</v>
      </c>
      <c r="C103" s="3">
        <v>101</v>
      </c>
      <c r="D103" s="3" t="s">
        <v>91</v>
      </c>
      <c r="E103" s="3" t="s">
        <v>19</v>
      </c>
      <c r="F103" s="3" t="s">
        <v>20</v>
      </c>
      <c r="G103" s="3" t="s">
        <v>21</v>
      </c>
      <c r="H103" s="3" t="s">
        <v>28</v>
      </c>
      <c r="I103" s="3" t="s">
        <v>27</v>
      </c>
      <c r="J103" s="3">
        <v>2</v>
      </c>
      <c r="K103" s="3"/>
      <c r="L103" s="4">
        <v>44482</v>
      </c>
      <c r="M103" s="7">
        <v>102</v>
      </c>
      <c r="N103" s="7"/>
      <c r="O103" s="7"/>
      <c r="P103" s="7"/>
    </row>
    <row r="104" spans="1:16" hidden="1" x14ac:dyDescent="0.35">
      <c r="A104" s="151" t="str">
        <f t="shared" si="2"/>
        <v>Wen_WS_OT</v>
      </c>
      <c r="B104" s="3" t="s">
        <v>17</v>
      </c>
      <c r="C104" s="3">
        <v>103</v>
      </c>
      <c r="D104" s="3" t="s">
        <v>92</v>
      </c>
      <c r="E104" s="3" t="s">
        <v>19</v>
      </c>
      <c r="F104" s="3" t="s">
        <v>39</v>
      </c>
      <c r="G104" s="3" t="s">
        <v>25</v>
      </c>
      <c r="H104" s="3" t="s">
        <v>22</v>
      </c>
      <c r="I104" s="3" t="s">
        <v>23</v>
      </c>
      <c r="J104" s="3">
        <v>2</v>
      </c>
      <c r="K104" s="3">
        <v>7</v>
      </c>
      <c r="L104" s="4">
        <v>44483</v>
      </c>
      <c r="M104" s="7">
        <f>C104</f>
        <v>103</v>
      </c>
      <c r="N104" s="7"/>
      <c r="O104" s="7"/>
      <c r="P104" s="7"/>
    </row>
    <row r="105" spans="1:16" hidden="1" x14ac:dyDescent="0.35">
      <c r="A105" s="151" t="str">
        <f t="shared" si="2"/>
        <v>Sto_WS_OT</v>
      </c>
      <c r="B105" s="3" t="s">
        <v>17</v>
      </c>
      <c r="C105" s="3">
        <v>61</v>
      </c>
      <c r="D105" s="3" t="s">
        <v>65</v>
      </c>
      <c r="E105" s="3" t="s">
        <v>19</v>
      </c>
      <c r="F105" s="3" t="s">
        <v>39</v>
      </c>
      <c r="G105" s="3" t="s">
        <v>21</v>
      </c>
      <c r="H105" s="3" t="s">
        <v>35</v>
      </c>
      <c r="I105" s="3" t="s">
        <v>23</v>
      </c>
      <c r="J105" s="3">
        <v>2</v>
      </c>
      <c r="K105" s="3">
        <v>4</v>
      </c>
      <c r="L105" s="4">
        <v>44481</v>
      </c>
      <c r="M105" s="7">
        <v>62</v>
      </c>
      <c r="N105" s="7">
        <v>16</v>
      </c>
      <c r="O105" s="7"/>
      <c r="P105" s="7"/>
    </row>
    <row r="106" spans="1:16" hidden="1" x14ac:dyDescent="0.35">
      <c r="A106" s="151" t="str">
        <f t="shared" si="2"/>
        <v>Sto_WS_OT</v>
      </c>
      <c r="B106" s="3" t="s">
        <v>17</v>
      </c>
      <c r="C106" s="3">
        <v>105</v>
      </c>
      <c r="D106" s="3" t="s">
        <v>93</v>
      </c>
      <c r="E106" s="3" t="s">
        <v>19</v>
      </c>
      <c r="F106" s="3" t="s">
        <v>39</v>
      </c>
      <c r="G106" s="3" t="s">
        <v>21</v>
      </c>
      <c r="H106" s="3" t="s">
        <v>22</v>
      </c>
      <c r="I106" s="3" t="s">
        <v>23</v>
      </c>
      <c r="J106" s="3">
        <v>2</v>
      </c>
      <c r="K106" s="3">
        <v>7</v>
      </c>
      <c r="L106" s="4">
        <v>44483</v>
      </c>
      <c r="M106" s="7">
        <f>C106</f>
        <v>105</v>
      </c>
      <c r="N106" s="7"/>
      <c r="O106" s="7"/>
      <c r="P106" s="7"/>
    </row>
    <row r="107" spans="1:16" hidden="1" x14ac:dyDescent="0.35">
      <c r="A107" s="151" t="str">
        <f t="shared" si="2"/>
        <v>Sto_WS_OT</v>
      </c>
      <c r="B107" s="3" t="s">
        <v>17</v>
      </c>
      <c r="C107" s="3">
        <v>75</v>
      </c>
      <c r="D107" s="3" t="s">
        <v>76</v>
      </c>
      <c r="E107" s="3" t="s">
        <v>19</v>
      </c>
      <c r="F107" s="3" t="s">
        <v>39</v>
      </c>
      <c r="G107" s="3" t="s">
        <v>21</v>
      </c>
      <c r="H107" s="3" t="s">
        <v>35</v>
      </c>
      <c r="I107" s="3" t="s">
        <v>23</v>
      </c>
      <c r="J107" s="3">
        <v>2</v>
      </c>
      <c r="K107" s="3">
        <v>5</v>
      </c>
      <c r="L107" s="4">
        <v>44482</v>
      </c>
      <c r="M107" s="7">
        <v>76</v>
      </c>
      <c r="N107" s="7">
        <v>16</v>
      </c>
      <c r="O107" s="7"/>
      <c r="P107" s="7"/>
    </row>
    <row r="108" spans="1:16" hidden="1" x14ac:dyDescent="0.35">
      <c r="A108" s="151" t="str">
        <f t="shared" si="2"/>
        <v>Sto_WS_OT</v>
      </c>
      <c r="B108" s="3" t="s">
        <v>17</v>
      </c>
      <c r="C108" s="3">
        <v>107</v>
      </c>
      <c r="D108" s="3" t="s">
        <v>94</v>
      </c>
      <c r="E108" s="3" t="s">
        <v>19</v>
      </c>
      <c r="F108" s="3" t="s">
        <v>39</v>
      </c>
      <c r="G108" s="3" t="s">
        <v>21</v>
      </c>
      <c r="H108" s="3" t="s">
        <v>26</v>
      </c>
      <c r="I108" s="3" t="s">
        <v>27</v>
      </c>
      <c r="J108" s="3">
        <v>2</v>
      </c>
      <c r="K108" s="3">
        <v>4</v>
      </c>
      <c r="L108" s="4">
        <v>44482</v>
      </c>
      <c r="M108" s="7">
        <f>C108</f>
        <v>107</v>
      </c>
      <c r="N108" s="7"/>
      <c r="O108" s="7"/>
      <c r="P108" s="7"/>
    </row>
    <row r="109" spans="1:16" hidden="1" x14ac:dyDescent="0.35">
      <c r="A109" s="151" t="str">
        <f t="shared" si="2"/>
        <v>Sto_WS_OT</v>
      </c>
      <c r="B109" s="3" t="s">
        <v>17</v>
      </c>
      <c r="C109" s="3">
        <v>107</v>
      </c>
      <c r="D109" s="3" t="s">
        <v>94</v>
      </c>
      <c r="E109" s="3" t="s">
        <v>19</v>
      </c>
      <c r="F109" s="3" t="s">
        <v>39</v>
      </c>
      <c r="G109" s="3" t="s">
        <v>21</v>
      </c>
      <c r="H109" s="3" t="s">
        <v>28</v>
      </c>
      <c r="I109" s="3" t="s">
        <v>27</v>
      </c>
      <c r="J109" s="3">
        <v>2</v>
      </c>
      <c r="K109" s="3">
        <v>4</v>
      </c>
      <c r="L109" s="4">
        <v>44482</v>
      </c>
      <c r="M109" s="7">
        <v>108</v>
      </c>
      <c r="N109" s="7"/>
      <c r="O109" s="7"/>
      <c r="P109" s="7"/>
    </row>
    <row r="110" spans="1:16" hidden="1" x14ac:dyDescent="0.35">
      <c r="A110" s="151" t="str">
        <f t="shared" si="2"/>
        <v>Sto_WW_OT</v>
      </c>
      <c r="B110" s="3" t="s">
        <v>17</v>
      </c>
      <c r="C110" s="3">
        <v>109</v>
      </c>
      <c r="D110" s="3" t="s">
        <v>95</v>
      </c>
      <c r="E110" s="3" t="s">
        <v>19</v>
      </c>
      <c r="F110" s="3" t="s">
        <v>20</v>
      </c>
      <c r="G110" s="3" t="s">
        <v>21</v>
      </c>
      <c r="H110" s="3" t="s">
        <v>22</v>
      </c>
      <c r="I110" s="3" t="s">
        <v>23</v>
      </c>
      <c r="J110" s="3">
        <v>2</v>
      </c>
      <c r="K110" s="3">
        <v>7</v>
      </c>
      <c r="L110" s="4">
        <v>44483</v>
      </c>
      <c r="M110" s="7">
        <f>C110</f>
        <v>109</v>
      </c>
      <c r="N110" s="7"/>
      <c r="O110" s="7"/>
      <c r="P110" s="7"/>
    </row>
    <row r="111" spans="1:16" hidden="1" x14ac:dyDescent="0.35">
      <c r="A111" s="151" t="str">
        <f t="shared" si="2"/>
        <v>Wen_WW_HS</v>
      </c>
      <c r="B111" s="3" t="s">
        <v>117</v>
      </c>
      <c r="C111" s="3">
        <v>1019</v>
      </c>
      <c r="D111" s="3" t="s">
        <v>131</v>
      </c>
      <c r="E111" s="3" t="s">
        <v>121</v>
      </c>
      <c r="F111" s="3" t="s">
        <v>20</v>
      </c>
      <c r="G111" s="3" t="s">
        <v>25</v>
      </c>
      <c r="H111" s="3" t="s">
        <v>35</v>
      </c>
      <c r="I111" s="3" t="s">
        <v>23</v>
      </c>
      <c r="J111" s="3">
        <v>2</v>
      </c>
      <c r="K111" s="3">
        <v>1</v>
      </c>
      <c r="L111" s="4">
        <v>44481</v>
      </c>
      <c r="M111" s="7">
        <v>1020</v>
      </c>
      <c r="N111" s="7">
        <v>17</v>
      </c>
      <c r="O111" s="7"/>
      <c r="P111" s="7"/>
    </row>
    <row r="112" spans="1:16" x14ac:dyDescent="0.35">
      <c r="A112" s="151" t="str">
        <f t="shared" si="2"/>
        <v>Wen_WW_OT</v>
      </c>
      <c r="B112" s="3" t="s">
        <v>17</v>
      </c>
      <c r="C112" s="3">
        <v>111</v>
      </c>
      <c r="D112" s="3" t="s">
        <v>96</v>
      </c>
      <c r="E112" s="3" t="s">
        <v>19</v>
      </c>
      <c r="F112" s="3" t="s">
        <v>20</v>
      </c>
      <c r="G112" s="3" t="s">
        <v>25</v>
      </c>
      <c r="H112" s="3" t="s">
        <v>22</v>
      </c>
      <c r="I112" s="3" t="s">
        <v>23</v>
      </c>
      <c r="J112" s="3">
        <v>2</v>
      </c>
      <c r="K112" s="3">
        <v>7</v>
      </c>
      <c r="L112" s="4">
        <v>44483</v>
      </c>
      <c r="M112" s="7">
        <f>C112</f>
        <v>111</v>
      </c>
      <c r="N112" s="7"/>
      <c r="O112" s="7"/>
      <c r="P112" s="7"/>
    </row>
    <row r="113" spans="1:16" hidden="1" x14ac:dyDescent="0.35">
      <c r="A113" s="151" t="str">
        <f t="shared" si="2"/>
        <v>Wen_WW_HS</v>
      </c>
      <c r="B113" s="3" t="s">
        <v>117</v>
      </c>
      <c r="C113" s="3">
        <v>1131</v>
      </c>
      <c r="D113" s="3" t="s">
        <v>200</v>
      </c>
      <c r="E113" s="3" t="s">
        <v>121</v>
      </c>
      <c r="F113" s="3" t="s">
        <v>20</v>
      </c>
      <c r="G113" s="3" t="s">
        <v>25</v>
      </c>
      <c r="H113" s="3" t="s">
        <v>35</v>
      </c>
      <c r="I113" s="3" t="s">
        <v>23</v>
      </c>
      <c r="J113" s="3">
        <v>2</v>
      </c>
      <c r="K113" s="3">
        <v>8</v>
      </c>
      <c r="L113" s="4">
        <v>44483</v>
      </c>
      <c r="M113" s="7">
        <v>1132</v>
      </c>
      <c r="N113" s="7">
        <v>17</v>
      </c>
      <c r="O113" s="7"/>
      <c r="P113" s="7"/>
    </row>
    <row r="114" spans="1:16" hidden="1" x14ac:dyDescent="0.35">
      <c r="A114" s="151" t="str">
        <f t="shared" si="2"/>
        <v>Wen_WS_OT</v>
      </c>
      <c r="B114" s="3" t="s">
        <v>17</v>
      </c>
      <c r="C114" s="3">
        <v>113</v>
      </c>
      <c r="D114" s="3" t="s">
        <v>97</v>
      </c>
      <c r="E114" s="3" t="s">
        <v>19</v>
      </c>
      <c r="F114" s="3" t="s">
        <v>39</v>
      </c>
      <c r="G114" s="3" t="s">
        <v>25</v>
      </c>
      <c r="H114" s="3"/>
      <c r="I114" s="3" t="s">
        <v>27</v>
      </c>
      <c r="J114" s="3"/>
      <c r="K114" s="3">
        <v>4</v>
      </c>
      <c r="L114" s="4"/>
      <c r="M114" s="7">
        <f>C114</f>
        <v>113</v>
      </c>
      <c r="N114" s="7"/>
      <c r="O114" s="7"/>
      <c r="P114" s="7"/>
    </row>
    <row r="115" spans="1:16" hidden="1" x14ac:dyDescent="0.35">
      <c r="A115" s="151" t="str">
        <f t="shared" si="2"/>
        <v>Wen_WS_OT</v>
      </c>
      <c r="B115" s="3" t="s">
        <v>17</v>
      </c>
      <c r="C115" s="3">
        <v>113</v>
      </c>
      <c r="D115" s="3" t="s">
        <v>97</v>
      </c>
      <c r="E115" s="3" t="s">
        <v>19</v>
      </c>
      <c r="F115" s="3" t="s">
        <v>39</v>
      </c>
      <c r="G115" s="3" t="s">
        <v>25</v>
      </c>
      <c r="H115" s="3" t="s">
        <v>28</v>
      </c>
      <c r="I115" s="3" t="s">
        <v>27</v>
      </c>
      <c r="J115" s="3">
        <v>2</v>
      </c>
      <c r="K115" s="3">
        <v>4</v>
      </c>
      <c r="L115" s="4">
        <v>44483</v>
      </c>
      <c r="M115" s="7">
        <v>114</v>
      </c>
      <c r="N115" s="7"/>
      <c r="O115" s="7"/>
      <c r="P115" s="7"/>
    </row>
    <row r="116" spans="1:16" hidden="1" x14ac:dyDescent="0.35">
      <c r="A116" s="151" t="str">
        <f t="shared" si="2"/>
        <v>Wen_WS_OT</v>
      </c>
      <c r="B116" s="3" t="s">
        <v>17</v>
      </c>
      <c r="C116" s="3">
        <v>115</v>
      </c>
      <c r="D116" s="3" t="s">
        <v>100</v>
      </c>
      <c r="E116" s="3" t="s">
        <v>19</v>
      </c>
      <c r="F116" s="3" t="s">
        <v>39</v>
      </c>
      <c r="G116" s="3" t="s">
        <v>25</v>
      </c>
      <c r="H116" s="3" t="s">
        <v>22</v>
      </c>
      <c r="I116" s="3" t="s">
        <v>23</v>
      </c>
      <c r="J116" s="3">
        <v>2</v>
      </c>
      <c r="K116" s="3">
        <v>8</v>
      </c>
      <c r="L116" s="4">
        <v>44483</v>
      </c>
      <c r="M116" s="7">
        <f>C116</f>
        <v>115</v>
      </c>
      <c r="N116" s="7"/>
      <c r="O116" s="7"/>
      <c r="P116" s="7"/>
    </row>
    <row r="117" spans="1:16" hidden="1" x14ac:dyDescent="0.35">
      <c r="A117" s="151" t="str">
        <f t="shared" si="2"/>
        <v>Wen_WW_HS</v>
      </c>
      <c r="B117" s="3" t="s">
        <v>117</v>
      </c>
      <c r="C117" s="3">
        <v>1029</v>
      </c>
      <c r="D117" s="3" t="s">
        <v>136</v>
      </c>
      <c r="E117" s="3" t="s">
        <v>121</v>
      </c>
      <c r="F117" s="3" t="s">
        <v>20</v>
      </c>
      <c r="G117" s="3" t="s">
        <v>25</v>
      </c>
      <c r="H117" s="3" t="s">
        <v>35</v>
      </c>
      <c r="I117" s="3" t="s">
        <v>23</v>
      </c>
      <c r="J117" s="3">
        <v>2</v>
      </c>
      <c r="K117" s="3">
        <v>2</v>
      </c>
      <c r="L117" s="4">
        <v>44481</v>
      </c>
      <c r="M117" s="7">
        <v>1030</v>
      </c>
      <c r="N117" s="7">
        <v>18</v>
      </c>
      <c r="O117" s="7"/>
      <c r="P117" s="7"/>
    </row>
    <row r="118" spans="1:16" x14ac:dyDescent="0.35">
      <c r="A118" s="151" t="str">
        <f t="shared" si="2"/>
        <v>Wen_WW_OT</v>
      </c>
      <c r="B118" s="3" t="s">
        <v>17</v>
      </c>
      <c r="C118" s="3">
        <v>117</v>
      </c>
      <c r="D118" s="3" t="s">
        <v>101</v>
      </c>
      <c r="E118" s="3" t="s">
        <v>19</v>
      </c>
      <c r="F118" s="3" t="s">
        <v>20</v>
      </c>
      <c r="G118" s="3" t="s">
        <v>25</v>
      </c>
      <c r="H118" s="3" t="s">
        <v>26</v>
      </c>
      <c r="I118" s="3" t="s">
        <v>27</v>
      </c>
      <c r="J118" s="3">
        <v>2</v>
      </c>
      <c r="K118" s="3">
        <v>4</v>
      </c>
      <c r="L118" s="4">
        <v>44482</v>
      </c>
      <c r="M118" s="7">
        <f>C118</f>
        <v>117</v>
      </c>
      <c r="N118" s="7"/>
      <c r="O118" s="7"/>
      <c r="P118" s="7"/>
    </row>
    <row r="119" spans="1:16" x14ac:dyDescent="0.35">
      <c r="A119" s="151" t="str">
        <f t="shared" si="2"/>
        <v>Wen_WW_OT</v>
      </c>
      <c r="B119" s="3" t="s">
        <v>17</v>
      </c>
      <c r="C119" s="3">
        <v>117</v>
      </c>
      <c r="D119" s="3" t="s">
        <v>101</v>
      </c>
      <c r="E119" s="3" t="s">
        <v>19</v>
      </c>
      <c r="F119" s="3" t="s">
        <v>20</v>
      </c>
      <c r="G119" s="3" t="s">
        <v>25</v>
      </c>
      <c r="H119" s="3" t="s">
        <v>28</v>
      </c>
      <c r="I119" s="3" t="s">
        <v>27</v>
      </c>
      <c r="J119" s="3">
        <v>2</v>
      </c>
      <c r="K119" s="3">
        <v>4</v>
      </c>
      <c r="L119" s="4">
        <v>44482</v>
      </c>
      <c r="M119" s="7">
        <v>118</v>
      </c>
      <c r="N119" s="7"/>
      <c r="O119" s="7"/>
      <c r="P119" s="7"/>
    </row>
    <row r="120" spans="1:16" hidden="1" x14ac:dyDescent="0.35">
      <c r="A120" s="151" t="str">
        <f t="shared" si="2"/>
        <v>Sto_WS_OT</v>
      </c>
      <c r="B120" s="3" t="s">
        <v>17</v>
      </c>
      <c r="C120" s="3">
        <v>119</v>
      </c>
      <c r="D120" s="3" t="s">
        <v>102</v>
      </c>
      <c r="E120" s="3" t="s">
        <v>19</v>
      </c>
      <c r="F120" s="3" t="s">
        <v>39</v>
      </c>
      <c r="G120" s="3" t="s">
        <v>21</v>
      </c>
      <c r="H120" s="3" t="s">
        <v>22</v>
      </c>
      <c r="I120" s="3" t="s">
        <v>23</v>
      </c>
      <c r="J120" s="3">
        <v>2</v>
      </c>
      <c r="K120" s="3">
        <v>8</v>
      </c>
      <c r="L120" s="4">
        <v>44483</v>
      </c>
      <c r="M120" s="7">
        <f>C120</f>
        <v>119</v>
      </c>
      <c r="N120" s="7"/>
      <c r="O120" s="7"/>
      <c r="P120" s="7"/>
    </row>
    <row r="121" spans="1:16" hidden="1" x14ac:dyDescent="0.35">
      <c r="A121" s="151" t="str">
        <f t="shared" si="2"/>
        <v>Wen_WW_HS</v>
      </c>
      <c r="B121" s="3" t="s">
        <v>117</v>
      </c>
      <c r="C121" s="3">
        <v>1111</v>
      </c>
      <c r="D121" s="3" t="s">
        <v>188</v>
      </c>
      <c r="E121" s="3" t="s">
        <v>121</v>
      </c>
      <c r="F121" s="3" t="s">
        <v>20</v>
      </c>
      <c r="G121" s="3" t="s">
        <v>25</v>
      </c>
      <c r="H121" s="3" t="s">
        <v>35</v>
      </c>
      <c r="I121" s="3" t="s">
        <v>23</v>
      </c>
      <c r="J121" s="3">
        <v>2</v>
      </c>
      <c r="K121" s="3">
        <v>7</v>
      </c>
      <c r="L121" s="4">
        <v>44483</v>
      </c>
      <c r="M121" s="7">
        <v>1112</v>
      </c>
      <c r="N121" s="7">
        <v>18</v>
      </c>
      <c r="O121" s="7"/>
      <c r="P121" s="7"/>
    </row>
    <row r="122" spans="1:16" hidden="1" x14ac:dyDescent="0.35">
      <c r="A122" s="151" t="str">
        <f t="shared" si="2"/>
        <v>Sto_WW_OT</v>
      </c>
      <c r="B122" s="3" t="s">
        <v>17</v>
      </c>
      <c r="C122" s="3">
        <v>121</v>
      </c>
      <c r="D122" s="3" t="s">
        <v>103</v>
      </c>
      <c r="E122" s="3" t="s">
        <v>19</v>
      </c>
      <c r="F122" s="3" t="s">
        <v>20</v>
      </c>
      <c r="G122" s="3" t="s">
        <v>21</v>
      </c>
      <c r="H122" s="3" t="s">
        <v>26</v>
      </c>
      <c r="I122" s="3" t="s">
        <v>27</v>
      </c>
      <c r="J122" s="3">
        <v>2</v>
      </c>
      <c r="K122" s="3">
        <v>4</v>
      </c>
      <c r="L122" s="4">
        <v>44482</v>
      </c>
      <c r="M122" s="7">
        <f>C122</f>
        <v>121</v>
      </c>
      <c r="N122" s="7"/>
      <c r="O122" s="7"/>
      <c r="P122" s="7"/>
    </row>
    <row r="123" spans="1:16" hidden="1" x14ac:dyDescent="0.35">
      <c r="A123" s="151" t="str">
        <f t="shared" si="2"/>
        <v>Sto_WW_OT</v>
      </c>
      <c r="B123" s="3" t="s">
        <v>17</v>
      </c>
      <c r="C123" s="3">
        <v>121</v>
      </c>
      <c r="D123" s="3" t="s">
        <v>103</v>
      </c>
      <c r="E123" s="3" t="s">
        <v>19</v>
      </c>
      <c r="F123" s="3" t="s">
        <v>20</v>
      </c>
      <c r="G123" s="3" t="s">
        <v>21</v>
      </c>
      <c r="H123" s="3" t="s">
        <v>28</v>
      </c>
      <c r="I123" s="3" t="s">
        <v>27</v>
      </c>
      <c r="J123" s="3">
        <v>2</v>
      </c>
      <c r="K123" s="3">
        <v>4</v>
      </c>
      <c r="L123" s="4">
        <v>44482</v>
      </c>
      <c r="M123" s="7">
        <v>122</v>
      </c>
      <c r="N123" s="7"/>
      <c r="O123" s="7"/>
      <c r="P123" s="7"/>
    </row>
    <row r="124" spans="1:16" hidden="1" x14ac:dyDescent="0.35">
      <c r="A124" s="151" t="str">
        <f t="shared" si="2"/>
        <v>Wen_WS_OT</v>
      </c>
      <c r="B124" s="3" t="s">
        <v>17</v>
      </c>
      <c r="C124" s="3">
        <v>123</v>
      </c>
      <c r="D124" s="3" t="s">
        <v>104</v>
      </c>
      <c r="E124" s="3" t="s">
        <v>19</v>
      </c>
      <c r="F124" s="3" t="s">
        <v>39</v>
      </c>
      <c r="G124" s="3" t="s">
        <v>25</v>
      </c>
      <c r="H124" s="3" t="s">
        <v>26</v>
      </c>
      <c r="I124" s="3" t="s">
        <v>27</v>
      </c>
      <c r="J124" s="3">
        <v>2</v>
      </c>
      <c r="K124" s="3">
        <v>5</v>
      </c>
      <c r="L124" s="4">
        <v>44483</v>
      </c>
      <c r="M124" s="7">
        <f>C124</f>
        <v>123</v>
      </c>
      <c r="N124" s="7"/>
      <c r="O124" s="7"/>
      <c r="P124" s="7"/>
    </row>
    <row r="125" spans="1:16" hidden="1" x14ac:dyDescent="0.35">
      <c r="A125" s="151" t="str">
        <f t="shared" si="2"/>
        <v>Wen_WS_OT</v>
      </c>
      <c r="B125" s="3" t="s">
        <v>17</v>
      </c>
      <c r="C125" s="3">
        <v>123</v>
      </c>
      <c r="D125" s="3" t="s">
        <v>104</v>
      </c>
      <c r="E125" s="3" t="s">
        <v>19</v>
      </c>
      <c r="F125" s="3" t="s">
        <v>39</v>
      </c>
      <c r="G125" s="3" t="s">
        <v>25</v>
      </c>
      <c r="H125" s="3" t="s">
        <v>28</v>
      </c>
      <c r="I125" s="3" t="s">
        <v>27</v>
      </c>
      <c r="J125" s="3">
        <v>2</v>
      </c>
      <c r="K125" s="3">
        <v>5</v>
      </c>
      <c r="L125" s="4">
        <v>44483</v>
      </c>
      <c r="M125" s="7">
        <v>124</v>
      </c>
      <c r="N125" s="7"/>
      <c r="O125" s="7"/>
      <c r="P125" s="7"/>
    </row>
    <row r="126" spans="1:16" x14ac:dyDescent="0.35">
      <c r="A126" s="151" t="str">
        <f t="shared" si="2"/>
        <v>Wen_WW_OT</v>
      </c>
      <c r="B126" s="3" t="s">
        <v>17</v>
      </c>
      <c r="C126" s="3">
        <v>125</v>
      </c>
      <c r="D126" s="3" t="s">
        <v>105</v>
      </c>
      <c r="E126" s="3" t="s">
        <v>19</v>
      </c>
      <c r="F126" s="3" t="s">
        <v>20</v>
      </c>
      <c r="G126" s="3" t="s">
        <v>25</v>
      </c>
      <c r="H126" s="3" t="s">
        <v>26</v>
      </c>
      <c r="I126" s="3" t="s">
        <v>27</v>
      </c>
      <c r="J126" s="3">
        <v>2</v>
      </c>
      <c r="K126" s="3">
        <v>5</v>
      </c>
      <c r="L126" s="4">
        <v>44483</v>
      </c>
      <c r="M126" s="7">
        <f>C126</f>
        <v>125</v>
      </c>
      <c r="N126" s="7"/>
      <c r="O126" s="7"/>
      <c r="P126" s="7"/>
    </row>
    <row r="127" spans="1:16" x14ac:dyDescent="0.35">
      <c r="A127" s="151" t="str">
        <f t="shared" si="2"/>
        <v>Wen_WW_OT</v>
      </c>
      <c r="B127" s="3" t="s">
        <v>17</v>
      </c>
      <c r="C127" s="3">
        <v>125</v>
      </c>
      <c r="D127" s="3" t="s">
        <v>105</v>
      </c>
      <c r="E127" s="3" t="s">
        <v>19</v>
      </c>
      <c r="F127" s="3" t="s">
        <v>20</v>
      </c>
      <c r="G127" s="3" t="s">
        <v>25</v>
      </c>
      <c r="H127" s="3" t="s">
        <v>28</v>
      </c>
      <c r="I127" s="3" t="s">
        <v>27</v>
      </c>
      <c r="J127" s="3">
        <v>2</v>
      </c>
      <c r="K127" s="3">
        <v>5</v>
      </c>
      <c r="L127" s="4">
        <v>44483</v>
      </c>
      <c r="M127" s="7">
        <v>126</v>
      </c>
      <c r="N127" s="7"/>
      <c r="O127" s="7"/>
      <c r="P127" s="7"/>
    </row>
    <row r="128" spans="1:16" hidden="1" x14ac:dyDescent="0.35">
      <c r="A128" s="151" t="str">
        <f t="shared" si="2"/>
        <v>Sto_WW_OT</v>
      </c>
      <c r="B128" s="3" t="s">
        <v>17</v>
      </c>
      <c r="C128" s="3">
        <v>127</v>
      </c>
      <c r="D128" s="3" t="s">
        <v>106</v>
      </c>
      <c r="E128" s="3" t="s">
        <v>19</v>
      </c>
      <c r="F128" s="3" t="s">
        <v>20</v>
      </c>
      <c r="G128" s="3" t="s">
        <v>21</v>
      </c>
      <c r="H128" s="3" t="s">
        <v>22</v>
      </c>
      <c r="I128" s="3" t="s">
        <v>23</v>
      </c>
      <c r="J128" s="3">
        <v>2</v>
      </c>
      <c r="K128" s="3">
        <v>8</v>
      </c>
      <c r="L128" s="4">
        <v>44483</v>
      </c>
      <c r="M128" s="7">
        <f>C128</f>
        <v>127</v>
      </c>
      <c r="N128" s="7"/>
      <c r="O128" s="7"/>
      <c r="P128" s="7"/>
    </row>
    <row r="129" spans="1:16" hidden="1" x14ac:dyDescent="0.35">
      <c r="A129" s="151" t="str">
        <f t="shared" si="2"/>
        <v>Wen_WW_HS</v>
      </c>
      <c r="B129" s="3" t="s">
        <v>117</v>
      </c>
      <c r="C129" s="3">
        <v>1043</v>
      </c>
      <c r="D129" s="3" t="s">
        <v>147</v>
      </c>
      <c r="E129" s="3" t="s">
        <v>121</v>
      </c>
      <c r="F129" s="3" t="s">
        <v>20</v>
      </c>
      <c r="G129" s="3" t="s">
        <v>25</v>
      </c>
      <c r="H129" s="3" t="s">
        <v>35</v>
      </c>
      <c r="I129" s="3" t="s">
        <v>23</v>
      </c>
      <c r="J129" s="3">
        <v>2</v>
      </c>
      <c r="K129" s="3">
        <v>3</v>
      </c>
      <c r="L129" s="4">
        <v>44481</v>
      </c>
      <c r="M129" s="7">
        <v>1044</v>
      </c>
      <c r="N129" s="7">
        <v>19</v>
      </c>
      <c r="O129" s="7"/>
      <c r="P129" s="7"/>
    </row>
    <row r="130" spans="1:16" hidden="1" x14ac:dyDescent="0.35">
      <c r="A130" s="151" t="str">
        <f t="shared" si="2"/>
        <v>Sto_WS_OT</v>
      </c>
      <c r="B130" s="3" t="s">
        <v>17</v>
      </c>
      <c r="C130" s="3">
        <v>129</v>
      </c>
      <c r="D130" s="3" t="s">
        <v>107</v>
      </c>
      <c r="E130" s="3" t="s">
        <v>19</v>
      </c>
      <c r="F130" s="3" t="s">
        <v>39</v>
      </c>
      <c r="G130" s="3" t="s">
        <v>21</v>
      </c>
      <c r="H130" s="3" t="s">
        <v>26</v>
      </c>
      <c r="I130" s="3" t="s">
        <v>27</v>
      </c>
      <c r="J130" s="3">
        <v>2</v>
      </c>
      <c r="K130" s="3">
        <v>5</v>
      </c>
      <c r="L130" s="4">
        <v>44483</v>
      </c>
      <c r="M130" s="7">
        <f>C130</f>
        <v>129</v>
      </c>
      <c r="N130" s="7"/>
      <c r="O130" s="7"/>
      <c r="P130" s="7"/>
    </row>
    <row r="131" spans="1:16" hidden="1" x14ac:dyDescent="0.35">
      <c r="A131" s="151" t="str">
        <f t="shared" si="2"/>
        <v>Sto_WS_OT</v>
      </c>
      <c r="B131" s="3" t="s">
        <v>17</v>
      </c>
      <c r="C131" s="3">
        <v>129</v>
      </c>
      <c r="D131" s="3" t="s">
        <v>107</v>
      </c>
      <c r="E131" s="3" t="s">
        <v>19</v>
      </c>
      <c r="F131" s="3" t="s">
        <v>39</v>
      </c>
      <c r="G131" s="3" t="s">
        <v>21</v>
      </c>
      <c r="H131" s="3" t="s">
        <v>28</v>
      </c>
      <c r="I131" s="3" t="s">
        <v>27</v>
      </c>
      <c r="J131" s="3">
        <v>2</v>
      </c>
      <c r="K131" s="3">
        <v>5</v>
      </c>
      <c r="L131" s="4">
        <v>44483</v>
      </c>
      <c r="M131" s="7">
        <v>130</v>
      </c>
      <c r="N131" s="7"/>
      <c r="O131" s="7"/>
      <c r="P131" s="7"/>
    </row>
    <row r="132" spans="1:16" x14ac:dyDescent="0.35">
      <c r="A132" s="151" t="str">
        <f t="shared" si="2"/>
        <v>Wen_WW_OT</v>
      </c>
      <c r="B132" s="3" t="s">
        <v>17</v>
      </c>
      <c r="C132" s="3">
        <v>131</v>
      </c>
      <c r="D132" s="3" t="s">
        <v>108</v>
      </c>
      <c r="E132" s="3" t="s">
        <v>19</v>
      </c>
      <c r="F132" s="3" t="s">
        <v>20</v>
      </c>
      <c r="G132" s="3" t="s">
        <v>25</v>
      </c>
      <c r="H132" s="3" t="s">
        <v>22</v>
      </c>
      <c r="I132" s="3" t="s">
        <v>23</v>
      </c>
      <c r="J132" s="3">
        <v>2</v>
      </c>
      <c r="K132" s="3">
        <v>8</v>
      </c>
      <c r="L132" s="4">
        <v>44483</v>
      </c>
      <c r="M132" s="7">
        <f>C132</f>
        <v>131</v>
      </c>
      <c r="N132" s="7"/>
      <c r="O132" s="7"/>
      <c r="P132" s="7"/>
    </row>
    <row r="133" spans="1:16" hidden="1" x14ac:dyDescent="0.35">
      <c r="A133" s="151" t="str">
        <f t="shared" si="2"/>
        <v>Wen_WW_HS</v>
      </c>
      <c r="B133" s="3" t="s">
        <v>117</v>
      </c>
      <c r="C133" s="3">
        <v>1055</v>
      </c>
      <c r="D133" s="3" t="s">
        <v>153</v>
      </c>
      <c r="E133" s="3" t="s">
        <v>121</v>
      </c>
      <c r="F133" s="3" t="s">
        <v>20</v>
      </c>
      <c r="G133" s="3" t="s">
        <v>25</v>
      </c>
      <c r="H133" s="3" t="s">
        <v>35</v>
      </c>
      <c r="I133" s="3" t="s">
        <v>23</v>
      </c>
      <c r="J133" s="3">
        <v>2</v>
      </c>
      <c r="K133" s="3"/>
      <c r="L133" s="4">
        <v>44482</v>
      </c>
      <c r="M133" s="7">
        <v>1056</v>
      </c>
      <c r="N133" s="7">
        <v>19</v>
      </c>
      <c r="O133" s="7"/>
      <c r="P133" s="7"/>
    </row>
    <row r="134" spans="1:16" hidden="1" x14ac:dyDescent="0.35">
      <c r="A134" s="151" t="str">
        <f t="shared" ref="A134:A197" si="3">LEFT(G134,3)&amp;"_"&amp;F134&amp;"_"&amp;E134</f>
        <v>Wen_WW_HS</v>
      </c>
      <c r="B134" s="3" t="s">
        <v>117</v>
      </c>
      <c r="C134" s="3">
        <v>1083</v>
      </c>
      <c r="D134" s="3" t="s">
        <v>172</v>
      </c>
      <c r="E134" s="3" t="s">
        <v>121</v>
      </c>
      <c r="F134" s="3" t="s">
        <v>20</v>
      </c>
      <c r="G134" s="3" t="s">
        <v>25</v>
      </c>
      <c r="H134" s="3" t="s">
        <v>35</v>
      </c>
      <c r="I134" s="3" t="s">
        <v>23</v>
      </c>
      <c r="J134" s="3">
        <v>2</v>
      </c>
      <c r="K134" s="3">
        <v>5</v>
      </c>
      <c r="L134" s="4">
        <v>44482</v>
      </c>
      <c r="M134" s="7">
        <v>1084</v>
      </c>
      <c r="N134" s="7">
        <v>20</v>
      </c>
      <c r="O134" s="7"/>
      <c r="P134" s="7"/>
    </row>
    <row r="135" spans="1:16" hidden="1" x14ac:dyDescent="0.35">
      <c r="A135" s="151" t="str">
        <f t="shared" si="3"/>
        <v>Sto_WW_OT</v>
      </c>
      <c r="B135" s="3" t="s">
        <v>17</v>
      </c>
      <c r="C135" s="3">
        <v>133</v>
      </c>
      <c r="D135" s="3" t="s">
        <v>109</v>
      </c>
      <c r="E135" s="3" t="s">
        <v>19</v>
      </c>
      <c r="F135" s="3" t="s">
        <v>20</v>
      </c>
      <c r="G135" s="3" t="s">
        <v>21</v>
      </c>
      <c r="H135" s="3"/>
      <c r="I135" s="3" t="s">
        <v>27</v>
      </c>
      <c r="J135" s="3"/>
      <c r="K135" s="3">
        <v>5</v>
      </c>
      <c r="L135" s="4"/>
      <c r="M135" s="7">
        <v>134</v>
      </c>
      <c r="N135" s="7"/>
      <c r="O135" s="7"/>
      <c r="P135" s="7"/>
    </row>
    <row r="136" spans="1:16" hidden="1" x14ac:dyDescent="0.35">
      <c r="A136" s="151" t="str">
        <f t="shared" si="3"/>
        <v>Sto_WW_OT</v>
      </c>
      <c r="B136" s="3" t="s">
        <v>17</v>
      </c>
      <c r="C136" s="3">
        <v>135</v>
      </c>
      <c r="D136" s="3" t="s">
        <v>112</v>
      </c>
      <c r="E136" s="3" t="s">
        <v>19</v>
      </c>
      <c r="F136" s="3" t="s">
        <v>20</v>
      </c>
      <c r="G136" s="3" t="s">
        <v>21</v>
      </c>
      <c r="H136" s="3" t="s">
        <v>22</v>
      </c>
      <c r="I136" s="3" t="s">
        <v>23</v>
      </c>
      <c r="J136" s="3">
        <v>1</v>
      </c>
      <c r="K136" s="3">
        <v>3</v>
      </c>
      <c r="L136" s="4">
        <v>44466</v>
      </c>
      <c r="M136" s="7">
        <f>C136</f>
        <v>135</v>
      </c>
      <c r="N136" s="7"/>
      <c r="O136" s="7"/>
      <c r="P136" s="7"/>
    </row>
    <row r="137" spans="1:16" hidden="1" x14ac:dyDescent="0.35">
      <c r="A137" s="151" t="str">
        <f t="shared" si="3"/>
        <v>Sto_WW_OT</v>
      </c>
      <c r="B137" s="3" t="s">
        <v>17</v>
      </c>
      <c r="C137" s="3">
        <v>135</v>
      </c>
      <c r="D137" s="3" t="s">
        <v>112</v>
      </c>
      <c r="E137" s="3" t="s">
        <v>19</v>
      </c>
      <c r="F137" s="3" t="s">
        <v>20</v>
      </c>
      <c r="G137" s="3" t="s">
        <v>21</v>
      </c>
      <c r="H137" s="3" t="s">
        <v>22</v>
      </c>
      <c r="I137" s="3" t="s">
        <v>23</v>
      </c>
      <c r="J137" s="3">
        <v>1</v>
      </c>
      <c r="K137" s="3">
        <v>3</v>
      </c>
      <c r="L137" s="4">
        <v>44466</v>
      </c>
      <c r="M137" s="7">
        <v>136</v>
      </c>
      <c r="N137" s="7"/>
      <c r="O137" s="7"/>
      <c r="P137" s="7"/>
    </row>
    <row r="138" spans="1:16" x14ac:dyDescent="0.35">
      <c r="A138" s="151" t="str">
        <f t="shared" si="3"/>
        <v>Wen_WW_OT</v>
      </c>
      <c r="B138" s="3" t="s">
        <v>17</v>
      </c>
      <c r="C138" s="3">
        <v>137</v>
      </c>
      <c r="D138" s="3" t="s">
        <v>113</v>
      </c>
      <c r="E138" s="3" t="s">
        <v>19</v>
      </c>
      <c r="F138" s="3" t="s">
        <v>20</v>
      </c>
      <c r="G138" s="3" t="s">
        <v>25</v>
      </c>
      <c r="H138" s="3" t="s">
        <v>22</v>
      </c>
      <c r="I138" s="3" t="s">
        <v>23</v>
      </c>
      <c r="J138" s="3">
        <v>2</v>
      </c>
      <c r="K138" s="3">
        <v>3</v>
      </c>
      <c r="L138" s="4">
        <v>44483</v>
      </c>
      <c r="M138" s="7">
        <f>C138</f>
        <v>137</v>
      </c>
      <c r="N138" s="7"/>
      <c r="O138" s="7"/>
      <c r="P138" s="7"/>
    </row>
    <row r="139" spans="1:16" hidden="1" x14ac:dyDescent="0.35">
      <c r="A139" s="151" t="str">
        <f t="shared" si="3"/>
        <v>Wen_WW_HS</v>
      </c>
      <c r="B139" s="3" t="s">
        <v>117</v>
      </c>
      <c r="C139" s="3">
        <v>1097</v>
      </c>
      <c r="D139" s="3" t="s">
        <v>179</v>
      </c>
      <c r="E139" s="3" t="s">
        <v>121</v>
      </c>
      <c r="F139" s="3" t="s">
        <v>20</v>
      </c>
      <c r="G139" s="3" t="s">
        <v>25</v>
      </c>
      <c r="H139" s="3" t="s">
        <v>35</v>
      </c>
      <c r="I139" s="3" t="s">
        <v>23</v>
      </c>
      <c r="J139" s="3">
        <v>2</v>
      </c>
      <c r="K139" s="3">
        <v>6</v>
      </c>
      <c r="L139" s="4">
        <v>44483</v>
      </c>
      <c r="M139" s="7">
        <v>1098</v>
      </c>
      <c r="N139" s="7">
        <v>20</v>
      </c>
      <c r="O139" s="7"/>
      <c r="P139" s="7"/>
    </row>
    <row r="140" spans="1:16" hidden="1" x14ac:dyDescent="0.35">
      <c r="A140" s="151" t="str">
        <f t="shared" si="3"/>
        <v>Sto_WW_OT</v>
      </c>
      <c r="B140" s="3" t="s">
        <v>17</v>
      </c>
      <c r="C140" s="3">
        <v>139</v>
      </c>
      <c r="D140" s="3" t="s">
        <v>114</v>
      </c>
      <c r="E140" s="3" t="s">
        <v>19</v>
      </c>
      <c r="F140" s="3" t="s">
        <v>20</v>
      </c>
      <c r="G140" s="3" t="s">
        <v>21</v>
      </c>
      <c r="H140" s="3" t="s">
        <v>22</v>
      </c>
      <c r="I140" s="3" t="s">
        <v>27</v>
      </c>
      <c r="J140" s="3">
        <v>2</v>
      </c>
      <c r="K140" s="3">
        <v>3</v>
      </c>
      <c r="L140" s="4">
        <v>44483</v>
      </c>
      <c r="M140" s="7">
        <f>C140</f>
        <v>139</v>
      </c>
      <c r="N140" s="7"/>
      <c r="O140" s="7"/>
      <c r="P140" s="7"/>
    </row>
    <row r="141" spans="1:16" hidden="1" x14ac:dyDescent="0.35">
      <c r="A141" s="151" t="str">
        <f t="shared" si="3"/>
        <v>Sto_WW_HS</v>
      </c>
      <c r="B141" s="3" t="s">
        <v>117</v>
      </c>
      <c r="C141" s="3">
        <v>1017</v>
      </c>
      <c r="D141" s="3" t="s">
        <v>130</v>
      </c>
      <c r="E141" s="3" t="s">
        <v>121</v>
      </c>
      <c r="F141" s="3" t="s">
        <v>20</v>
      </c>
      <c r="G141" s="3" t="s">
        <v>21</v>
      </c>
      <c r="H141" s="3" t="s">
        <v>35</v>
      </c>
      <c r="I141" s="3" t="s">
        <v>23</v>
      </c>
      <c r="J141" s="3">
        <v>2</v>
      </c>
      <c r="K141" s="3">
        <v>1</v>
      </c>
      <c r="L141" s="4">
        <v>44481</v>
      </c>
      <c r="M141" s="7">
        <v>1018</v>
      </c>
      <c r="N141" s="7">
        <v>21</v>
      </c>
      <c r="O141" s="7"/>
      <c r="P141" s="7"/>
    </row>
    <row r="142" spans="1:16" hidden="1" x14ac:dyDescent="0.35">
      <c r="A142" s="151" t="str">
        <f t="shared" si="3"/>
        <v>Wen_WW_OT</v>
      </c>
      <c r="B142" s="3" t="s">
        <v>17</v>
      </c>
      <c r="C142" s="3">
        <v>141</v>
      </c>
      <c r="D142" s="3" t="s">
        <v>115</v>
      </c>
      <c r="E142" s="3" t="s">
        <v>19</v>
      </c>
      <c r="F142" s="3" t="s">
        <v>20</v>
      </c>
      <c r="G142" s="3" t="s">
        <v>25</v>
      </c>
      <c r="H142" s="3" t="s">
        <v>22</v>
      </c>
      <c r="I142" s="3" t="s">
        <v>23</v>
      </c>
      <c r="J142" s="3">
        <v>1</v>
      </c>
      <c r="K142" s="3">
        <v>3</v>
      </c>
      <c r="L142" s="4">
        <v>44466</v>
      </c>
      <c r="M142" s="7">
        <f>C142</f>
        <v>141</v>
      </c>
      <c r="N142" s="7"/>
      <c r="O142" s="7"/>
      <c r="P142" s="7"/>
    </row>
    <row r="143" spans="1:16" hidden="1" x14ac:dyDescent="0.35">
      <c r="A143" s="151" t="str">
        <f t="shared" si="3"/>
        <v>Wen_WW_OT</v>
      </c>
      <c r="B143" s="3" t="s">
        <v>17</v>
      </c>
      <c r="C143" s="3">
        <v>141</v>
      </c>
      <c r="D143" s="3" t="s">
        <v>115</v>
      </c>
      <c r="E143" s="3" t="s">
        <v>19</v>
      </c>
      <c r="F143" s="3" t="s">
        <v>20</v>
      </c>
      <c r="G143" s="3" t="s">
        <v>25</v>
      </c>
      <c r="H143" s="3" t="s">
        <v>22</v>
      </c>
      <c r="I143" s="3" t="s">
        <v>23</v>
      </c>
      <c r="J143" s="3">
        <v>1</v>
      </c>
      <c r="K143" s="3">
        <v>3</v>
      </c>
      <c r="L143" s="4">
        <v>44466</v>
      </c>
      <c r="M143" s="7">
        <v>142</v>
      </c>
      <c r="N143" s="7"/>
      <c r="O143" s="7"/>
      <c r="P143" s="7"/>
    </row>
    <row r="144" spans="1:16" x14ac:dyDescent="0.35">
      <c r="A144" s="151" t="str">
        <f t="shared" si="3"/>
        <v>Wen_WW_OT</v>
      </c>
      <c r="B144" s="3" t="s">
        <v>17</v>
      </c>
      <c r="C144" s="3">
        <v>143</v>
      </c>
      <c r="D144" s="3" t="s">
        <v>116</v>
      </c>
      <c r="E144" s="3" t="s">
        <v>19</v>
      </c>
      <c r="F144" s="3" t="s">
        <v>20</v>
      </c>
      <c r="G144" s="3" t="s">
        <v>25</v>
      </c>
      <c r="H144" s="3" t="s">
        <v>26</v>
      </c>
      <c r="I144" s="3" t="s">
        <v>27</v>
      </c>
      <c r="J144" s="3">
        <v>2</v>
      </c>
      <c r="K144" s="3"/>
      <c r="L144" s="4">
        <v>44483</v>
      </c>
      <c r="M144" s="7">
        <f>C144</f>
        <v>143</v>
      </c>
      <c r="N144" s="7"/>
      <c r="O144" s="7"/>
      <c r="P144" s="7"/>
    </row>
    <row r="145" spans="1:16" x14ac:dyDescent="0.35">
      <c r="A145" s="151" t="str">
        <f t="shared" si="3"/>
        <v>Wen_WW_OT</v>
      </c>
      <c r="B145" s="3" t="s">
        <v>17</v>
      </c>
      <c r="C145" s="3">
        <v>143</v>
      </c>
      <c r="D145" s="3" t="s">
        <v>116</v>
      </c>
      <c r="E145" s="3" t="s">
        <v>19</v>
      </c>
      <c r="F145" s="3" t="s">
        <v>20</v>
      </c>
      <c r="G145" s="3" t="s">
        <v>25</v>
      </c>
      <c r="H145" s="3" t="s">
        <v>28</v>
      </c>
      <c r="I145" s="3" t="s">
        <v>27</v>
      </c>
      <c r="J145" s="3">
        <v>2</v>
      </c>
      <c r="K145" s="3"/>
      <c r="L145" s="4">
        <v>44483</v>
      </c>
      <c r="M145" s="7">
        <v>144</v>
      </c>
      <c r="N145" s="7"/>
      <c r="O145" s="7"/>
      <c r="P145" s="7"/>
    </row>
    <row r="146" spans="1:16" hidden="1" x14ac:dyDescent="0.35">
      <c r="A146" s="151" t="str">
        <f t="shared" si="3"/>
        <v>Sto_WW_OT</v>
      </c>
      <c r="B146" s="3" t="s">
        <v>117</v>
      </c>
      <c r="C146" s="3">
        <v>1001</v>
      </c>
      <c r="D146" s="3" t="s">
        <v>118</v>
      </c>
      <c r="E146" s="3" t="s">
        <v>19</v>
      </c>
      <c r="F146" s="3" t="s">
        <v>20</v>
      </c>
      <c r="G146" s="3" t="s">
        <v>21</v>
      </c>
      <c r="H146" s="3" t="s">
        <v>22</v>
      </c>
      <c r="I146" s="3" t="s">
        <v>23</v>
      </c>
      <c r="J146" s="3">
        <v>1</v>
      </c>
      <c r="K146" s="3">
        <v>1</v>
      </c>
      <c r="L146" s="4">
        <v>44466</v>
      </c>
      <c r="M146" s="7">
        <f>C146</f>
        <v>1001</v>
      </c>
      <c r="N146" s="7"/>
      <c r="O146" s="7"/>
      <c r="P146" s="7"/>
    </row>
    <row r="147" spans="1:16" hidden="1" x14ac:dyDescent="0.35">
      <c r="A147" s="151" t="str">
        <f t="shared" si="3"/>
        <v>Sto_WW_OT</v>
      </c>
      <c r="B147" s="3" t="s">
        <v>117</v>
      </c>
      <c r="C147" s="3">
        <v>1001</v>
      </c>
      <c r="D147" s="3" t="s">
        <v>118</v>
      </c>
      <c r="E147" s="3" t="s">
        <v>19</v>
      </c>
      <c r="F147" s="3" t="s">
        <v>20</v>
      </c>
      <c r="G147" s="3" t="s">
        <v>21</v>
      </c>
      <c r="H147" s="3" t="s">
        <v>22</v>
      </c>
      <c r="I147" s="3" t="s">
        <v>23</v>
      </c>
      <c r="J147" s="3">
        <v>1</v>
      </c>
      <c r="K147" s="3">
        <v>1</v>
      </c>
      <c r="L147" s="4">
        <v>44466</v>
      </c>
      <c r="M147" s="7">
        <v>1002</v>
      </c>
      <c r="N147" s="7"/>
      <c r="O147" s="7"/>
      <c r="P147" s="7"/>
    </row>
    <row r="148" spans="1:16" hidden="1" x14ac:dyDescent="0.35">
      <c r="A148" s="151" t="str">
        <f t="shared" si="3"/>
        <v>Wen_WW_HS</v>
      </c>
      <c r="B148" s="3" t="s">
        <v>117</v>
      </c>
      <c r="C148" s="3">
        <v>1003</v>
      </c>
      <c r="D148" s="3" t="s">
        <v>120</v>
      </c>
      <c r="E148" s="3" t="s">
        <v>121</v>
      </c>
      <c r="F148" s="3" t="s">
        <v>20</v>
      </c>
      <c r="G148" s="3" t="s">
        <v>25</v>
      </c>
      <c r="H148" s="3" t="s">
        <v>26</v>
      </c>
      <c r="I148" s="3" t="s">
        <v>27</v>
      </c>
      <c r="J148" s="3">
        <v>2</v>
      </c>
      <c r="K148" s="3"/>
      <c r="L148" s="4">
        <v>44483</v>
      </c>
      <c r="M148" s="7">
        <f>C148</f>
        <v>1003</v>
      </c>
      <c r="N148" s="7"/>
      <c r="O148" s="7"/>
      <c r="P148" s="7"/>
    </row>
    <row r="149" spans="1:16" hidden="1" x14ac:dyDescent="0.35">
      <c r="A149" s="151" t="str">
        <f t="shared" si="3"/>
        <v>Wen_WW_HS</v>
      </c>
      <c r="B149" s="3" t="s">
        <v>117</v>
      </c>
      <c r="C149" s="3">
        <v>1003</v>
      </c>
      <c r="D149" s="3" t="s">
        <v>120</v>
      </c>
      <c r="E149" s="3" t="s">
        <v>121</v>
      </c>
      <c r="F149" s="3" t="s">
        <v>20</v>
      </c>
      <c r="G149" s="3" t="s">
        <v>25</v>
      </c>
      <c r="H149" s="3" t="s">
        <v>28</v>
      </c>
      <c r="I149" s="3" t="s">
        <v>27</v>
      </c>
      <c r="J149" s="3">
        <v>2</v>
      </c>
      <c r="K149" s="3">
        <v>1</v>
      </c>
      <c r="L149" s="4">
        <v>44483</v>
      </c>
      <c r="M149" s="7">
        <v>1004</v>
      </c>
      <c r="N149" s="7"/>
      <c r="O149" s="7"/>
      <c r="P149" s="7"/>
    </row>
    <row r="150" spans="1:16" hidden="1" x14ac:dyDescent="0.35">
      <c r="A150" s="151" t="str">
        <f t="shared" si="3"/>
        <v>Sto_WW_HS</v>
      </c>
      <c r="B150" s="3" t="s">
        <v>117</v>
      </c>
      <c r="C150" s="3">
        <v>1005</v>
      </c>
      <c r="D150" s="3" t="s">
        <v>122</v>
      </c>
      <c r="E150" s="3" t="s">
        <v>121</v>
      </c>
      <c r="F150" s="3" t="s">
        <v>20</v>
      </c>
      <c r="G150" s="3" t="s">
        <v>21</v>
      </c>
      <c r="H150" s="3" t="s">
        <v>26</v>
      </c>
      <c r="I150" s="3" t="s">
        <v>27</v>
      </c>
      <c r="J150" s="3">
        <v>2</v>
      </c>
      <c r="K150" s="3">
        <v>1</v>
      </c>
      <c r="L150" s="4">
        <v>44484</v>
      </c>
      <c r="M150" s="7">
        <f>C150</f>
        <v>1005</v>
      </c>
      <c r="N150" s="7"/>
      <c r="O150" s="7"/>
      <c r="P150" s="7"/>
    </row>
    <row r="151" spans="1:16" hidden="1" x14ac:dyDescent="0.35">
      <c r="A151" s="151" t="str">
        <f t="shared" si="3"/>
        <v>Sto_WW_HS</v>
      </c>
      <c r="B151" s="3" t="s">
        <v>117</v>
      </c>
      <c r="C151" s="3">
        <v>1005</v>
      </c>
      <c r="D151" s="3" t="s">
        <v>122</v>
      </c>
      <c r="E151" s="3" t="s">
        <v>121</v>
      </c>
      <c r="F151" s="3" t="s">
        <v>20</v>
      </c>
      <c r="G151" s="3" t="s">
        <v>21</v>
      </c>
      <c r="H151" s="3" t="s">
        <v>26</v>
      </c>
      <c r="I151" s="3"/>
      <c r="J151" s="3"/>
      <c r="K151" s="3">
        <v>1</v>
      </c>
      <c r="L151" s="4">
        <v>44484</v>
      </c>
      <c r="M151" s="7">
        <v>1006</v>
      </c>
      <c r="N151" s="7"/>
      <c r="O151" s="7"/>
      <c r="P151" s="7"/>
    </row>
    <row r="152" spans="1:16" hidden="1" x14ac:dyDescent="0.35">
      <c r="A152" s="151" t="str">
        <f t="shared" si="3"/>
        <v>Wen_WW_OT</v>
      </c>
      <c r="B152" s="3" t="s">
        <v>117</v>
      </c>
      <c r="C152" s="3">
        <v>1007</v>
      </c>
      <c r="D152" s="3" t="s">
        <v>125</v>
      </c>
      <c r="E152" s="3" t="s">
        <v>19</v>
      </c>
      <c r="F152" s="3" t="s">
        <v>20</v>
      </c>
      <c r="G152" s="3" t="s">
        <v>25</v>
      </c>
      <c r="H152" s="3" t="s">
        <v>22</v>
      </c>
      <c r="I152" s="3" t="s">
        <v>23</v>
      </c>
      <c r="J152" s="3">
        <v>1</v>
      </c>
      <c r="K152" s="3">
        <v>1</v>
      </c>
      <c r="L152" s="4">
        <v>44466</v>
      </c>
      <c r="M152" s="7">
        <f>C152</f>
        <v>1007</v>
      </c>
      <c r="N152" s="7"/>
      <c r="O152" s="7"/>
      <c r="P152" s="7"/>
    </row>
    <row r="153" spans="1:16" hidden="1" x14ac:dyDescent="0.35">
      <c r="A153" s="151" t="str">
        <f t="shared" si="3"/>
        <v>Wen_WW_OT</v>
      </c>
      <c r="B153" s="3" t="s">
        <v>117</v>
      </c>
      <c r="C153" s="3">
        <v>1007</v>
      </c>
      <c r="D153" s="3" t="s">
        <v>125</v>
      </c>
      <c r="E153" s="3" t="s">
        <v>19</v>
      </c>
      <c r="F153" s="3" t="s">
        <v>20</v>
      </c>
      <c r="G153" s="3" t="s">
        <v>25</v>
      </c>
      <c r="H153" s="3" t="s">
        <v>22</v>
      </c>
      <c r="I153" s="3" t="s">
        <v>23</v>
      </c>
      <c r="J153" s="3">
        <v>1</v>
      </c>
      <c r="K153" s="3">
        <v>1</v>
      </c>
      <c r="L153" s="4">
        <v>44466</v>
      </c>
      <c r="M153" s="7">
        <v>1008</v>
      </c>
      <c r="N153" s="7"/>
      <c r="O153" s="7"/>
      <c r="P153" s="7"/>
    </row>
    <row r="154" spans="1:16" hidden="1" x14ac:dyDescent="0.35">
      <c r="A154" s="151" t="str">
        <f t="shared" si="3"/>
        <v>Sto_WW_HS</v>
      </c>
      <c r="B154" s="3" t="s">
        <v>117</v>
      </c>
      <c r="C154" s="3">
        <v>1009</v>
      </c>
      <c r="D154" s="3" t="s">
        <v>126</v>
      </c>
      <c r="E154" s="3" t="s">
        <v>121</v>
      </c>
      <c r="F154" s="3" t="s">
        <v>20</v>
      </c>
      <c r="G154" s="3" t="s">
        <v>21</v>
      </c>
      <c r="H154" s="3" t="s">
        <v>26</v>
      </c>
      <c r="I154" s="3" t="s">
        <v>27</v>
      </c>
      <c r="J154" s="3">
        <v>2</v>
      </c>
      <c r="K154" s="3">
        <v>2</v>
      </c>
      <c r="L154" s="4">
        <v>44484</v>
      </c>
      <c r="M154" s="7">
        <f>C154</f>
        <v>1009</v>
      </c>
      <c r="N154" s="7"/>
      <c r="O154" s="7"/>
      <c r="P154" s="7"/>
    </row>
    <row r="155" spans="1:16" hidden="1" x14ac:dyDescent="0.35">
      <c r="A155" s="151" t="str">
        <f t="shared" si="3"/>
        <v>Sto_WW_HS</v>
      </c>
      <c r="B155" s="3" t="s">
        <v>117</v>
      </c>
      <c r="C155" s="3">
        <v>1009</v>
      </c>
      <c r="D155" s="3" t="s">
        <v>126</v>
      </c>
      <c r="E155" s="3" t="s">
        <v>121</v>
      </c>
      <c r="F155" s="3" t="s">
        <v>20</v>
      </c>
      <c r="G155" s="3" t="s">
        <v>21</v>
      </c>
      <c r="H155" s="3" t="s">
        <v>26</v>
      </c>
      <c r="I155" s="3" t="s">
        <v>27</v>
      </c>
      <c r="J155" s="3">
        <v>2</v>
      </c>
      <c r="K155" s="3">
        <v>2</v>
      </c>
      <c r="L155" s="4">
        <v>44484</v>
      </c>
      <c r="M155" s="7">
        <v>1010</v>
      </c>
      <c r="N155" s="7"/>
      <c r="O155" s="7"/>
      <c r="P155" s="7"/>
    </row>
    <row r="156" spans="1:16" hidden="1" x14ac:dyDescent="0.35">
      <c r="A156" s="151" t="str">
        <f t="shared" si="3"/>
        <v>Wen_WW_OT</v>
      </c>
      <c r="B156" s="3" t="s">
        <v>117</v>
      </c>
      <c r="C156" s="3">
        <v>1011</v>
      </c>
      <c r="D156" s="3" t="s">
        <v>127</v>
      </c>
      <c r="E156" s="3" t="s">
        <v>19</v>
      </c>
      <c r="F156" s="3" t="s">
        <v>20</v>
      </c>
      <c r="G156" s="3" t="s">
        <v>25</v>
      </c>
      <c r="H156" s="3" t="s">
        <v>22</v>
      </c>
      <c r="I156" s="3" t="s">
        <v>23</v>
      </c>
      <c r="J156" s="3">
        <v>1</v>
      </c>
      <c r="K156" s="3">
        <v>2</v>
      </c>
      <c r="L156" s="4">
        <v>44466</v>
      </c>
      <c r="M156" s="7">
        <f>C156</f>
        <v>1011</v>
      </c>
      <c r="N156" s="7"/>
      <c r="O156" s="7"/>
      <c r="P156" s="7"/>
    </row>
    <row r="157" spans="1:16" hidden="1" x14ac:dyDescent="0.35">
      <c r="A157" s="151" t="str">
        <f t="shared" si="3"/>
        <v>Wen_WW_OT</v>
      </c>
      <c r="B157" s="3" t="s">
        <v>117</v>
      </c>
      <c r="C157" s="3">
        <v>1011</v>
      </c>
      <c r="D157" s="3" t="s">
        <v>127</v>
      </c>
      <c r="E157" s="3" t="s">
        <v>19</v>
      </c>
      <c r="F157" s="3" t="s">
        <v>20</v>
      </c>
      <c r="G157" s="3" t="s">
        <v>25</v>
      </c>
      <c r="H157" s="3" t="s">
        <v>22</v>
      </c>
      <c r="I157" s="3" t="s">
        <v>23</v>
      </c>
      <c r="J157" s="3">
        <v>1</v>
      </c>
      <c r="K157" s="3">
        <v>2</v>
      </c>
      <c r="L157" s="4">
        <v>44466</v>
      </c>
      <c r="M157" s="7">
        <v>1012</v>
      </c>
      <c r="N157" s="7"/>
      <c r="O157" s="7"/>
      <c r="P157" s="7"/>
    </row>
    <row r="158" spans="1:16" hidden="1" x14ac:dyDescent="0.35">
      <c r="A158" s="151" t="str">
        <f t="shared" si="3"/>
        <v>Sto_WW_OT</v>
      </c>
      <c r="B158" s="3" t="s">
        <v>117</v>
      </c>
      <c r="C158" s="3">
        <v>1013</v>
      </c>
      <c r="D158" s="3" t="s">
        <v>128</v>
      </c>
      <c r="E158" s="3" t="s">
        <v>19</v>
      </c>
      <c r="F158" s="3" t="s">
        <v>20</v>
      </c>
      <c r="G158" s="3" t="s">
        <v>21</v>
      </c>
      <c r="H158" s="3" t="s">
        <v>22</v>
      </c>
      <c r="I158" s="3" t="s">
        <v>23</v>
      </c>
      <c r="J158" s="3">
        <v>1</v>
      </c>
      <c r="K158" s="3">
        <v>2</v>
      </c>
      <c r="L158" s="4">
        <v>44466</v>
      </c>
      <c r="M158" s="7">
        <f>C158</f>
        <v>1013</v>
      </c>
      <c r="N158" s="7"/>
      <c r="O158" s="7"/>
      <c r="P158" s="7"/>
    </row>
    <row r="159" spans="1:16" hidden="1" x14ac:dyDescent="0.35">
      <c r="A159" s="151" t="str">
        <f t="shared" si="3"/>
        <v>Sto_WW_OT</v>
      </c>
      <c r="B159" s="3" t="s">
        <v>117</v>
      </c>
      <c r="C159" s="3">
        <v>1013</v>
      </c>
      <c r="D159" s="3" t="s">
        <v>128</v>
      </c>
      <c r="E159" s="3" t="s">
        <v>19</v>
      </c>
      <c r="F159" s="3" t="s">
        <v>20</v>
      </c>
      <c r="G159" s="3" t="s">
        <v>21</v>
      </c>
      <c r="H159" s="3" t="s">
        <v>22</v>
      </c>
      <c r="I159" s="3" t="s">
        <v>23</v>
      </c>
      <c r="J159" s="3">
        <v>1</v>
      </c>
      <c r="K159" s="3">
        <v>2</v>
      </c>
      <c r="L159" s="4">
        <v>44466</v>
      </c>
      <c r="M159" s="7">
        <v>1014</v>
      </c>
      <c r="N159" s="7"/>
      <c r="O159" s="7"/>
      <c r="P159" s="7"/>
    </row>
    <row r="160" spans="1:16" hidden="1" x14ac:dyDescent="0.35">
      <c r="A160" s="151" t="str">
        <f t="shared" si="3"/>
        <v>Wen_WW_HS</v>
      </c>
      <c r="B160" s="3" t="s">
        <v>117</v>
      </c>
      <c r="C160" s="3">
        <v>1015</v>
      </c>
      <c r="D160" s="3" t="s">
        <v>129</v>
      </c>
      <c r="E160" s="3" t="s">
        <v>121</v>
      </c>
      <c r="F160" s="3" t="s">
        <v>20</v>
      </c>
      <c r="G160" s="3" t="s">
        <v>25</v>
      </c>
      <c r="H160" s="3" t="s">
        <v>26</v>
      </c>
      <c r="I160" s="3" t="s">
        <v>27</v>
      </c>
      <c r="J160" s="3">
        <v>2</v>
      </c>
      <c r="K160" s="3">
        <v>2</v>
      </c>
      <c r="L160" s="4">
        <v>44484</v>
      </c>
      <c r="M160" s="7">
        <f>C160</f>
        <v>1015</v>
      </c>
      <c r="N160" s="7"/>
      <c r="O160" s="7"/>
      <c r="P160" s="7"/>
    </row>
    <row r="161" spans="1:16" hidden="1" x14ac:dyDescent="0.35">
      <c r="A161" s="151" t="str">
        <f t="shared" si="3"/>
        <v>Wen_WW_HS</v>
      </c>
      <c r="B161" s="3" t="s">
        <v>117</v>
      </c>
      <c r="C161" s="3">
        <v>1015</v>
      </c>
      <c r="D161" s="3" t="s">
        <v>129</v>
      </c>
      <c r="E161" s="3" t="s">
        <v>121</v>
      </c>
      <c r="F161" s="3" t="s">
        <v>20</v>
      </c>
      <c r="G161" s="3" t="s">
        <v>25</v>
      </c>
      <c r="H161" s="3" t="s">
        <v>26</v>
      </c>
      <c r="I161" s="3" t="s">
        <v>27</v>
      </c>
      <c r="J161" s="3">
        <v>2</v>
      </c>
      <c r="K161" s="3">
        <v>2</v>
      </c>
      <c r="L161" s="4">
        <v>44484</v>
      </c>
      <c r="M161" s="7">
        <v>1016</v>
      </c>
      <c r="N161" s="7"/>
      <c r="O161" s="7"/>
      <c r="P161" s="7"/>
    </row>
    <row r="162" spans="1:16" hidden="1" x14ac:dyDescent="0.35">
      <c r="A162" s="151" t="str">
        <f t="shared" si="3"/>
        <v>Sto_WW_HS</v>
      </c>
      <c r="B162" s="3" t="s">
        <v>117</v>
      </c>
      <c r="C162" s="3">
        <v>1017</v>
      </c>
      <c r="D162" s="3" t="s">
        <v>130</v>
      </c>
      <c r="E162" s="3" t="s">
        <v>121</v>
      </c>
      <c r="F162" s="3" t="s">
        <v>20</v>
      </c>
      <c r="G162" s="3" t="s">
        <v>21</v>
      </c>
      <c r="H162" s="3" t="s">
        <v>22</v>
      </c>
      <c r="I162" s="3" t="s">
        <v>23</v>
      </c>
      <c r="J162" s="3">
        <v>2</v>
      </c>
      <c r="K162" s="3">
        <v>1</v>
      </c>
      <c r="L162" s="4">
        <v>44481</v>
      </c>
      <c r="M162" s="7">
        <f>C162</f>
        <v>1017</v>
      </c>
      <c r="N162" s="7"/>
      <c r="O162" s="7"/>
      <c r="P162" s="7"/>
    </row>
    <row r="163" spans="1:16" hidden="1" x14ac:dyDescent="0.35">
      <c r="A163" s="151" t="str">
        <f t="shared" si="3"/>
        <v>Sto_WW_HS</v>
      </c>
      <c r="B163" s="3" t="s">
        <v>117</v>
      </c>
      <c r="C163" s="3">
        <v>1027</v>
      </c>
      <c r="D163" s="3" t="s">
        <v>135</v>
      </c>
      <c r="E163" s="3" t="s">
        <v>121</v>
      </c>
      <c r="F163" s="3" t="s">
        <v>20</v>
      </c>
      <c r="G163" s="3" t="s">
        <v>21</v>
      </c>
      <c r="H163" s="3" t="s">
        <v>35</v>
      </c>
      <c r="I163" s="3" t="s">
        <v>23</v>
      </c>
      <c r="J163" s="3">
        <v>2</v>
      </c>
      <c r="K163" s="3">
        <v>2</v>
      </c>
      <c r="L163" s="4">
        <v>44481</v>
      </c>
      <c r="M163" s="7">
        <v>1028</v>
      </c>
      <c r="N163" s="7">
        <v>22</v>
      </c>
      <c r="O163" s="7"/>
      <c r="P163" s="7"/>
    </row>
    <row r="164" spans="1:16" hidden="1" x14ac:dyDescent="0.35">
      <c r="A164" s="151" t="str">
        <f t="shared" si="3"/>
        <v>Wen_WW_HS</v>
      </c>
      <c r="B164" s="3" t="s">
        <v>117</v>
      </c>
      <c r="C164" s="3">
        <v>1019</v>
      </c>
      <c r="D164" s="3" t="s">
        <v>131</v>
      </c>
      <c r="E164" s="3" t="s">
        <v>121</v>
      </c>
      <c r="F164" s="3" t="s">
        <v>20</v>
      </c>
      <c r="G164" s="3" t="s">
        <v>25</v>
      </c>
      <c r="H164" s="3" t="s">
        <v>22</v>
      </c>
      <c r="I164" s="3" t="s">
        <v>23</v>
      </c>
      <c r="J164" s="3">
        <v>2</v>
      </c>
      <c r="K164" s="3">
        <v>1</v>
      </c>
      <c r="L164" s="4">
        <v>44481</v>
      </c>
      <c r="M164" s="7">
        <f>C164</f>
        <v>1019</v>
      </c>
      <c r="N164" s="7"/>
      <c r="O164" s="7"/>
      <c r="P164" s="7"/>
    </row>
    <row r="165" spans="1:16" hidden="1" x14ac:dyDescent="0.35">
      <c r="A165" s="151" t="str">
        <f t="shared" si="3"/>
        <v>Sto_WW_HS</v>
      </c>
      <c r="B165" s="3" t="s">
        <v>117</v>
      </c>
      <c r="C165" s="3">
        <v>1093</v>
      </c>
      <c r="D165" s="3" t="s">
        <v>177</v>
      </c>
      <c r="E165" s="3" t="s">
        <v>121</v>
      </c>
      <c r="F165" s="3" t="s">
        <v>20</v>
      </c>
      <c r="G165" s="3" t="s">
        <v>21</v>
      </c>
      <c r="H165" s="3" t="s">
        <v>35</v>
      </c>
      <c r="I165" s="3" t="s">
        <v>23</v>
      </c>
      <c r="J165" s="3">
        <v>2</v>
      </c>
      <c r="K165" s="3">
        <v>6</v>
      </c>
      <c r="L165" s="4">
        <v>44482</v>
      </c>
      <c r="M165" s="7">
        <v>1094</v>
      </c>
      <c r="N165" s="7">
        <v>22</v>
      </c>
      <c r="O165" s="7"/>
      <c r="P165" s="7"/>
    </row>
    <row r="166" spans="1:16" hidden="1" x14ac:dyDescent="0.35">
      <c r="A166" s="151" t="str">
        <f t="shared" si="3"/>
        <v>Wen_WS_HS</v>
      </c>
      <c r="B166" s="3" t="s">
        <v>117</v>
      </c>
      <c r="C166" s="3">
        <v>1021</v>
      </c>
      <c r="D166" s="3" t="s">
        <v>132</v>
      </c>
      <c r="E166" s="3" t="s">
        <v>121</v>
      </c>
      <c r="F166" s="3" t="s">
        <v>39</v>
      </c>
      <c r="G166" s="3" t="s">
        <v>25</v>
      </c>
      <c r="H166" s="3" t="s">
        <v>26</v>
      </c>
      <c r="I166" s="3" t="s">
        <v>27</v>
      </c>
      <c r="J166" s="3">
        <v>2</v>
      </c>
      <c r="K166" s="3">
        <v>1</v>
      </c>
      <c r="L166" s="4">
        <v>44481</v>
      </c>
      <c r="M166" s="7">
        <f>C166</f>
        <v>1021</v>
      </c>
      <c r="N166" s="7"/>
      <c r="O166" s="7"/>
      <c r="P166" s="7"/>
    </row>
    <row r="167" spans="1:16" hidden="1" x14ac:dyDescent="0.35">
      <c r="A167" s="151" t="str">
        <f t="shared" si="3"/>
        <v>Wen_WS_HS</v>
      </c>
      <c r="B167" s="3" t="s">
        <v>117</v>
      </c>
      <c r="C167" s="3">
        <v>1021</v>
      </c>
      <c r="D167" s="3" t="s">
        <v>132</v>
      </c>
      <c r="E167" s="3" t="s">
        <v>121</v>
      </c>
      <c r="F167" s="3" t="s">
        <v>39</v>
      </c>
      <c r="G167" s="3" t="s">
        <v>25</v>
      </c>
      <c r="H167" s="3" t="s">
        <v>28</v>
      </c>
      <c r="I167" s="3" t="s">
        <v>27</v>
      </c>
      <c r="J167" s="3">
        <v>2</v>
      </c>
      <c r="K167" s="3">
        <v>1</v>
      </c>
      <c r="L167" s="4">
        <v>44481</v>
      </c>
      <c r="M167" s="7">
        <v>1022</v>
      </c>
      <c r="N167" s="7"/>
      <c r="O167" s="7"/>
      <c r="P167" s="7"/>
    </row>
    <row r="168" spans="1:16" hidden="1" x14ac:dyDescent="0.35">
      <c r="A168" s="151" t="str">
        <f t="shared" si="3"/>
        <v>Wen_WS_HS</v>
      </c>
      <c r="B168" s="3" t="s">
        <v>117</v>
      </c>
      <c r="C168" s="3">
        <v>1023</v>
      </c>
      <c r="D168" s="3" t="s">
        <v>133</v>
      </c>
      <c r="E168" s="3" t="s">
        <v>121</v>
      </c>
      <c r="F168" s="3" t="s">
        <v>39</v>
      </c>
      <c r="G168" s="3" t="s">
        <v>25</v>
      </c>
      <c r="H168" s="3" t="s">
        <v>22</v>
      </c>
      <c r="I168" s="3" t="s">
        <v>23</v>
      </c>
      <c r="J168" s="3">
        <v>2</v>
      </c>
      <c r="K168" s="3">
        <v>1</v>
      </c>
      <c r="L168" s="4">
        <v>44481</v>
      </c>
      <c r="M168" s="7">
        <f>C168</f>
        <v>1023</v>
      </c>
      <c r="N168" s="7"/>
      <c r="O168" s="7"/>
      <c r="P168" s="7"/>
    </row>
    <row r="169" spans="1:16" hidden="1" x14ac:dyDescent="0.35">
      <c r="A169" s="151" t="str">
        <f t="shared" si="3"/>
        <v>Sto_WW_HS</v>
      </c>
      <c r="B169" s="3" t="s">
        <v>117</v>
      </c>
      <c r="C169" s="3">
        <v>1079</v>
      </c>
      <c r="D169" s="3" t="s">
        <v>170</v>
      </c>
      <c r="E169" s="3" t="s">
        <v>121</v>
      </c>
      <c r="F169" s="3" t="s">
        <v>20</v>
      </c>
      <c r="G169" s="3" t="s">
        <v>21</v>
      </c>
      <c r="H169" s="3" t="s">
        <v>35</v>
      </c>
      <c r="I169" s="3" t="s">
        <v>23</v>
      </c>
      <c r="J169" s="3">
        <v>2</v>
      </c>
      <c r="K169" s="3">
        <v>5</v>
      </c>
      <c r="L169" s="4">
        <v>44482</v>
      </c>
      <c r="M169" s="7">
        <v>1080</v>
      </c>
      <c r="N169" s="7">
        <v>23</v>
      </c>
      <c r="O169" s="7"/>
      <c r="P169" s="7"/>
    </row>
    <row r="170" spans="1:16" hidden="1" x14ac:dyDescent="0.35">
      <c r="A170" s="151" t="str">
        <f t="shared" si="3"/>
        <v>Sto_WS_HS</v>
      </c>
      <c r="B170" s="3" t="s">
        <v>117</v>
      </c>
      <c r="C170" s="3">
        <v>1025</v>
      </c>
      <c r="D170" s="3" t="s">
        <v>134</v>
      </c>
      <c r="E170" s="3" t="s">
        <v>121</v>
      </c>
      <c r="F170" s="3" t="s">
        <v>39</v>
      </c>
      <c r="G170" s="3" t="s">
        <v>21</v>
      </c>
      <c r="H170" s="3" t="s">
        <v>22</v>
      </c>
      <c r="I170" s="3" t="s">
        <v>23</v>
      </c>
      <c r="J170" s="3">
        <v>2</v>
      </c>
      <c r="K170" s="3">
        <v>1</v>
      </c>
      <c r="L170" s="4">
        <v>44481</v>
      </c>
      <c r="M170" s="7">
        <f>C170</f>
        <v>1025</v>
      </c>
      <c r="N170" s="7"/>
      <c r="O170" s="7"/>
      <c r="P170" s="7"/>
    </row>
    <row r="171" spans="1:16" hidden="1" x14ac:dyDescent="0.35">
      <c r="A171" s="151" t="str">
        <f t="shared" si="3"/>
        <v>Sto_WW_HS</v>
      </c>
      <c r="B171" s="3" t="s">
        <v>117</v>
      </c>
      <c r="C171" s="3">
        <v>1109</v>
      </c>
      <c r="D171" s="3" t="s">
        <v>187</v>
      </c>
      <c r="E171" s="3" t="s">
        <v>121</v>
      </c>
      <c r="F171" s="3" t="s">
        <v>20</v>
      </c>
      <c r="G171" s="3" t="s">
        <v>21</v>
      </c>
      <c r="H171" s="3" t="s">
        <v>35</v>
      </c>
      <c r="I171" s="3" t="s">
        <v>23</v>
      </c>
      <c r="J171" s="3">
        <v>2</v>
      </c>
      <c r="K171" s="3">
        <v>7</v>
      </c>
      <c r="L171" s="4">
        <v>44483</v>
      </c>
      <c r="M171" s="7">
        <v>1110</v>
      </c>
      <c r="N171" s="7">
        <v>23</v>
      </c>
      <c r="O171" s="7"/>
      <c r="P171" s="7"/>
    </row>
    <row r="172" spans="1:16" hidden="1" x14ac:dyDescent="0.35">
      <c r="A172" s="151" t="str">
        <f t="shared" si="3"/>
        <v>Sto_WW_HS</v>
      </c>
      <c r="B172" s="3" t="s">
        <v>117</v>
      </c>
      <c r="C172" s="3">
        <v>1027</v>
      </c>
      <c r="D172" s="3" t="s">
        <v>135</v>
      </c>
      <c r="E172" s="3" t="s">
        <v>121</v>
      </c>
      <c r="F172" s="3" t="s">
        <v>20</v>
      </c>
      <c r="G172" s="3" t="s">
        <v>21</v>
      </c>
      <c r="H172" s="3" t="s">
        <v>22</v>
      </c>
      <c r="I172" s="3" t="s">
        <v>23</v>
      </c>
      <c r="J172" s="3">
        <v>2</v>
      </c>
      <c r="K172" s="3">
        <v>2</v>
      </c>
      <c r="L172" s="4">
        <v>44481</v>
      </c>
      <c r="M172" s="7">
        <f>C172</f>
        <v>1027</v>
      </c>
      <c r="N172" s="7"/>
      <c r="O172" s="7"/>
      <c r="P172" s="7"/>
    </row>
    <row r="173" spans="1:16" hidden="1" x14ac:dyDescent="0.35">
      <c r="A173" s="151" t="str">
        <f t="shared" si="3"/>
        <v>Sto_WW_HS</v>
      </c>
      <c r="B173" s="3" t="s">
        <v>117</v>
      </c>
      <c r="C173" s="3">
        <v>1039</v>
      </c>
      <c r="D173" s="3" t="s">
        <v>143</v>
      </c>
      <c r="E173" s="3" t="s">
        <v>121</v>
      </c>
      <c r="F173" s="3" t="s">
        <v>20</v>
      </c>
      <c r="G173" s="3" t="s">
        <v>21</v>
      </c>
      <c r="H173" s="3" t="s">
        <v>35</v>
      </c>
      <c r="I173" s="3" t="s">
        <v>23</v>
      </c>
      <c r="J173" s="3">
        <v>2</v>
      </c>
      <c r="K173" s="3">
        <v>3</v>
      </c>
      <c r="L173" s="4">
        <v>44481</v>
      </c>
      <c r="M173" s="7">
        <v>1040</v>
      </c>
      <c r="N173" s="7">
        <v>24</v>
      </c>
      <c r="O173" s="7"/>
      <c r="P173" s="7"/>
    </row>
    <row r="174" spans="1:16" hidden="1" x14ac:dyDescent="0.35">
      <c r="A174" s="151" t="str">
        <f t="shared" si="3"/>
        <v>Wen_WW_HS</v>
      </c>
      <c r="B174" s="3" t="s">
        <v>117</v>
      </c>
      <c r="C174" s="3">
        <v>1029</v>
      </c>
      <c r="D174" s="3" t="s">
        <v>136</v>
      </c>
      <c r="E174" s="3" t="s">
        <v>121</v>
      </c>
      <c r="F174" s="3" t="s">
        <v>20</v>
      </c>
      <c r="G174" s="3" t="s">
        <v>25</v>
      </c>
      <c r="H174" s="3" t="s">
        <v>22</v>
      </c>
      <c r="I174" s="3" t="s">
        <v>23</v>
      </c>
      <c r="J174" s="3">
        <v>2</v>
      </c>
      <c r="K174" s="3">
        <v>2</v>
      </c>
      <c r="L174" s="4">
        <v>44481</v>
      </c>
      <c r="M174" s="7">
        <f>C174</f>
        <v>1029</v>
      </c>
      <c r="N174" s="7"/>
      <c r="O174" s="7"/>
      <c r="P174" s="7"/>
    </row>
    <row r="175" spans="1:16" hidden="1" x14ac:dyDescent="0.35">
      <c r="A175" s="151" t="str">
        <f t="shared" si="3"/>
        <v>Sto_WW_HS</v>
      </c>
      <c r="B175" s="3" t="s">
        <v>117</v>
      </c>
      <c r="C175" s="3">
        <v>1065</v>
      </c>
      <c r="D175" s="3" t="s">
        <v>158</v>
      </c>
      <c r="E175" s="3" t="s">
        <v>121</v>
      </c>
      <c r="F175" s="3" t="s">
        <v>20</v>
      </c>
      <c r="G175" s="3" t="s">
        <v>21</v>
      </c>
      <c r="H175" s="3" t="s">
        <v>35</v>
      </c>
      <c r="I175" s="3" t="s">
        <v>23</v>
      </c>
      <c r="J175" s="3">
        <v>2</v>
      </c>
      <c r="K175" s="3">
        <v>4</v>
      </c>
      <c r="L175" s="4">
        <v>44482</v>
      </c>
      <c r="M175" s="7">
        <v>1066</v>
      </c>
      <c r="N175" s="7">
        <v>24</v>
      </c>
      <c r="O175" s="7"/>
      <c r="P175" s="7"/>
    </row>
    <row r="176" spans="1:16" hidden="1" x14ac:dyDescent="0.35">
      <c r="A176" s="151" t="str">
        <f t="shared" si="3"/>
        <v>Sto_WW_HS</v>
      </c>
      <c r="B176" s="3" t="s">
        <v>117</v>
      </c>
      <c r="C176" s="3">
        <v>1031</v>
      </c>
      <c r="D176" s="3" t="s">
        <v>137</v>
      </c>
      <c r="E176" s="3" t="s">
        <v>121</v>
      </c>
      <c r="F176" s="3" t="s">
        <v>20</v>
      </c>
      <c r="G176" s="3" t="s">
        <v>21</v>
      </c>
      <c r="H176" s="3" t="s">
        <v>26</v>
      </c>
      <c r="I176" s="3" t="s">
        <v>27</v>
      </c>
      <c r="J176" s="3">
        <v>2</v>
      </c>
      <c r="K176" s="3">
        <v>1</v>
      </c>
      <c r="L176" s="4">
        <v>44481</v>
      </c>
      <c r="M176" s="7">
        <f>C176</f>
        <v>1031</v>
      </c>
      <c r="N176" s="7"/>
      <c r="O176" s="7"/>
      <c r="P176" s="7"/>
    </row>
    <row r="177" spans="1:16" hidden="1" x14ac:dyDescent="0.35">
      <c r="A177" s="151" t="str">
        <f t="shared" si="3"/>
        <v>Sto_WW_HS</v>
      </c>
      <c r="B177" s="3" t="s">
        <v>117</v>
      </c>
      <c r="C177" s="3">
        <v>1031</v>
      </c>
      <c r="D177" s="3" t="s">
        <v>137</v>
      </c>
      <c r="E177" s="3" t="s">
        <v>121</v>
      </c>
      <c r="F177" s="3" t="s">
        <v>20</v>
      </c>
      <c r="G177" s="3" t="s">
        <v>21</v>
      </c>
      <c r="H177" s="3" t="s">
        <v>28</v>
      </c>
      <c r="I177" s="3" t="s">
        <v>27</v>
      </c>
      <c r="J177" s="3">
        <v>2</v>
      </c>
      <c r="K177" s="3">
        <v>1</v>
      </c>
      <c r="L177" s="4">
        <v>44481</v>
      </c>
      <c r="M177" s="7">
        <v>1032</v>
      </c>
      <c r="N177" s="7"/>
      <c r="O177" s="7"/>
      <c r="P177" s="7"/>
    </row>
    <row r="178" spans="1:16" hidden="1" x14ac:dyDescent="0.35">
      <c r="A178" s="151" t="str">
        <f t="shared" si="3"/>
        <v>Wen_WS_HS</v>
      </c>
      <c r="B178" s="3" t="s">
        <v>117</v>
      </c>
      <c r="C178" s="3">
        <v>1033</v>
      </c>
      <c r="D178" s="3" t="s">
        <v>138</v>
      </c>
      <c r="E178" s="3" t="s">
        <v>121</v>
      </c>
      <c r="F178" s="3" t="s">
        <v>39</v>
      </c>
      <c r="G178" s="3" t="s">
        <v>25</v>
      </c>
      <c r="H178" s="3" t="s">
        <v>22</v>
      </c>
      <c r="I178" s="3" t="s">
        <v>23</v>
      </c>
      <c r="J178" s="3">
        <v>2</v>
      </c>
      <c r="K178" s="3">
        <v>2</v>
      </c>
      <c r="L178" s="4">
        <v>44481</v>
      </c>
      <c r="M178" s="7">
        <f>C178</f>
        <v>1033</v>
      </c>
      <c r="N178" s="7"/>
      <c r="O178" s="7"/>
      <c r="P178" s="7"/>
    </row>
    <row r="179" spans="1:16" hidden="1" x14ac:dyDescent="0.35">
      <c r="A179" s="151" t="str">
        <f t="shared" si="3"/>
        <v>Sto_WS_HS</v>
      </c>
      <c r="B179" s="3" t="s">
        <v>117</v>
      </c>
      <c r="C179" s="3">
        <v>1025</v>
      </c>
      <c r="D179" s="3" t="s">
        <v>134</v>
      </c>
      <c r="E179" s="3" t="s">
        <v>121</v>
      </c>
      <c r="F179" s="3" t="s">
        <v>39</v>
      </c>
      <c r="G179" s="3" t="s">
        <v>21</v>
      </c>
      <c r="H179" s="3" t="s">
        <v>35</v>
      </c>
      <c r="I179" s="3" t="s">
        <v>23</v>
      </c>
      <c r="J179" s="3">
        <v>2</v>
      </c>
      <c r="K179" s="3">
        <v>1</v>
      </c>
      <c r="L179" s="4">
        <v>44481</v>
      </c>
      <c r="M179" s="7">
        <v>1026</v>
      </c>
      <c r="N179" s="7">
        <v>25</v>
      </c>
      <c r="O179" s="7"/>
      <c r="P179" s="7"/>
    </row>
    <row r="180" spans="1:16" hidden="1" x14ac:dyDescent="0.35">
      <c r="A180" s="151" t="str">
        <f t="shared" si="3"/>
        <v>Wen_WW_HS</v>
      </c>
      <c r="B180" s="3" t="s">
        <v>117</v>
      </c>
      <c r="C180" s="3">
        <v>1035</v>
      </c>
      <c r="D180" s="3" t="s">
        <v>139</v>
      </c>
      <c r="E180" s="3" t="s">
        <v>121</v>
      </c>
      <c r="F180" s="3" t="s">
        <v>20</v>
      </c>
      <c r="G180" s="3" t="s">
        <v>25</v>
      </c>
      <c r="H180" s="3" t="s">
        <v>26</v>
      </c>
      <c r="I180" s="3" t="s">
        <v>27</v>
      </c>
      <c r="J180" s="3">
        <v>2</v>
      </c>
      <c r="K180" s="3">
        <v>1</v>
      </c>
      <c r="L180" s="4">
        <v>44484</v>
      </c>
      <c r="M180" s="7">
        <f>C180</f>
        <v>1035</v>
      </c>
      <c r="N180" s="7"/>
      <c r="O180" s="7"/>
      <c r="P180" s="7"/>
    </row>
    <row r="181" spans="1:16" hidden="1" x14ac:dyDescent="0.35">
      <c r="A181" s="151" t="str">
        <f t="shared" si="3"/>
        <v>Wen_WW_HS</v>
      </c>
      <c r="B181" s="3" t="s">
        <v>117</v>
      </c>
      <c r="C181" s="3">
        <v>1035</v>
      </c>
      <c r="D181" s="3" t="s">
        <v>139</v>
      </c>
      <c r="E181" s="3" t="s">
        <v>121</v>
      </c>
      <c r="F181" s="3" t="s">
        <v>20</v>
      </c>
      <c r="G181" s="3" t="s">
        <v>25</v>
      </c>
      <c r="H181" s="3" t="s">
        <v>22</v>
      </c>
      <c r="I181" s="3" t="s">
        <v>27</v>
      </c>
      <c r="J181" s="3">
        <v>2</v>
      </c>
      <c r="K181" s="3">
        <v>1</v>
      </c>
      <c r="L181" s="4">
        <v>44484</v>
      </c>
      <c r="M181" s="7">
        <v>1036</v>
      </c>
      <c r="N181" s="7"/>
      <c r="O181" s="7"/>
      <c r="P181" s="7"/>
    </row>
    <row r="182" spans="1:16" hidden="1" x14ac:dyDescent="0.35">
      <c r="A182" s="151" t="str">
        <f t="shared" si="3"/>
        <v>Sto_WS_HS</v>
      </c>
      <c r="B182" s="3" t="s">
        <v>117</v>
      </c>
      <c r="C182" s="3">
        <v>1037</v>
      </c>
      <c r="D182" s="3" t="s">
        <v>142</v>
      </c>
      <c r="E182" s="3" t="s">
        <v>121</v>
      </c>
      <c r="F182" s="3" t="s">
        <v>39</v>
      </c>
      <c r="G182" s="3" t="s">
        <v>21</v>
      </c>
      <c r="H182" s="3" t="s">
        <v>22</v>
      </c>
      <c r="I182" s="3" t="s">
        <v>23</v>
      </c>
      <c r="J182" s="3">
        <v>2</v>
      </c>
      <c r="K182" s="3">
        <v>2</v>
      </c>
      <c r="L182" s="4">
        <v>44481</v>
      </c>
      <c r="M182" s="7">
        <f>C182</f>
        <v>1037</v>
      </c>
      <c r="N182" s="7"/>
      <c r="O182" s="7"/>
      <c r="P182" s="7"/>
    </row>
    <row r="183" spans="1:16" hidden="1" x14ac:dyDescent="0.35">
      <c r="A183" s="151" t="str">
        <f t="shared" si="3"/>
        <v>Sto_WS_HS</v>
      </c>
      <c r="B183" s="3" t="s">
        <v>117</v>
      </c>
      <c r="C183" s="3">
        <v>1037</v>
      </c>
      <c r="D183" s="3" t="s">
        <v>142</v>
      </c>
      <c r="E183" s="3" t="s">
        <v>121</v>
      </c>
      <c r="F183" s="3" t="s">
        <v>39</v>
      </c>
      <c r="G183" s="3" t="s">
        <v>21</v>
      </c>
      <c r="H183" s="3"/>
      <c r="I183" s="3" t="s">
        <v>23</v>
      </c>
      <c r="J183" s="3"/>
      <c r="K183" s="3">
        <v>2</v>
      </c>
      <c r="L183" s="4"/>
      <c r="M183" s="7">
        <v>1038</v>
      </c>
      <c r="N183" s="7"/>
      <c r="O183" s="7"/>
      <c r="P183" s="7"/>
    </row>
    <row r="184" spans="1:16" hidden="1" x14ac:dyDescent="0.35">
      <c r="A184" s="151" t="str">
        <f t="shared" si="3"/>
        <v>Sto_WW_HS</v>
      </c>
      <c r="B184" s="3" t="s">
        <v>117</v>
      </c>
      <c r="C184" s="3">
        <v>1039</v>
      </c>
      <c r="D184" s="3" t="s">
        <v>143</v>
      </c>
      <c r="E184" s="3" t="s">
        <v>121</v>
      </c>
      <c r="F184" s="3" t="s">
        <v>20</v>
      </c>
      <c r="G184" s="3" t="s">
        <v>21</v>
      </c>
      <c r="H184" s="3" t="s">
        <v>22</v>
      </c>
      <c r="I184" s="3" t="s">
        <v>23</v>
      </c>
      <c r="J184" s="3">
        <v>2</v>
      </c>
      <c r="K184" s="3">
        <v>3</v>
      </c>
      <c r="L184" s="4">
        <v>44481</v>
      </c>
      <c r="M184" s="7">
        <f>C184</f>
        <v>1039</v>
      </c>
      <c r="N184" s="7"/>
      <c r="O184" s="7"/>
      <c r="P184" s="7"/>
    </row>
    <row r="185" spans="1:16" hidden="1" x14ac:dyDescent="0.35">
      <c r="A185" s="151" t="str">
        <f t="shared" si="3"/>
        <v>Sto_WS_HS</v>
      </c>
      <c r="B185" s="3" t="s">
        <v>117</v>
      </c>
      <c r="C185" s="3">
        <v>1119</v>
      </c>
      <c r="D185" s="3" t="s">
        <v>192</v>
      </c>
      <c r="E185" s="3" t="s">
        <v>121</v>
      </c>
      <c r="F185" s="3" t="s">
        <v>39</v>
      </c>
      <c r="G185" s="3" t="s">
        <v>21</v>
      </c>
      <c r="H185" s="3" t="s">
        <v>35</v>
      </c>
      <c r="I185" s="3" t="s">
        <v>23</v>
      </c>
      <c r="J185" s="3">
        <v>2</v>
      </c>
      <c r="K185" s="3">
        <v>8</v>
      </c>
      <c r="L185" s="4">
        <v>44483</v>
      </c>
      <c r="M185" s="7">
        <v>1120</v>
      </c>
      <c r="N185" s="7">
        <v>25</v>
      </c>
      <c r="O185" s="7"/>
      <c r="P185" s="7"/>
    </row>
    <row r="186" spans="1:16" hidden="1" x14ac:dyDescent="0.35">
      <c r="A186" s="151" t="str">
        <f t="shared" si="3"/>
        <v>Sto_WS_HS</v>
      </c>
      <c r="B186" s="3" t="s">
        <v>117</v>
      </c>
      <c r="C186" s="3">
        <v>1041</v>
      </c>
      <c r="D186" s="3" t="s">
        <v>144</v>
      </c>
      <c r="E186" s="3" t="s">
        <v>121</v>
      </c>
      <c r="F186" s="3" t="s">
        <v>39</v>
      </c>
      <c r="G186" s="3" t="s">
        <v>21</v>
      </c>
      <c r="H186" s="3"/>
      <c r="I186" s="3"/>
      <c r="J186" s="3"/>
      <c r="K186" s="3">
        <v>3</v>
      </c>
      <c r="L186" s="4"/>
      <c r="M186" s="7">
        <f>C186</f>
        <v>1041</v>
      </c>
      <c r="N186" s="7"/>
      <c r="O186" s="7"/>
      <c r="P186" s="7"/>
    </row>
    <row r="187" spans="1:16" hidden="1" x14ac:dyDescent="0.35">
      <c r="A187" s="151" t="str">
        <f t="shared" si="3"/>
        <v>Sto_WS_HS</v>
      </c>
      <c r="B187" s="3" t="s">
        <v>117</v>
      </c>
      <c r="C187" s="3">
        <v>1091</v>
      </c>
      <c r="D187" s="3" t="s">
        <v>176</v>
      </c>
      <c r="E187" s="3" t="s">
        <v>121</v>
      </c>
      <c r="F187" s="3" t="s">
        <v>39</v>
      </c>
      <c r="G187" s="3" t="s">
        <v>21</v>
      </c>
      <c r="H187" s="3" t="s">
        <v>35</v>
      </c>
      <c r="I187" s="3" t="s">
        <v>23</v>
      </c>
      <c r="J187" s="3">
        <v>2</v>
      </c>
      <c r="K187" s="3">
        <v>6</v>
      </c>
      <c r="L187" s="4">
        <v>44482</v>
      </c>
      <c r="M187" s="7">
        <v>1092</v>
      </c>
      <c r="N187" s="7">
        <v>26</v>
      </c>
      <c r="O187" s="7"/>
      <c r="P187" s="7"/>
    </row>
    <row r="188" spans="1:16" hidden="1" x14ac:dyDescent="0.35">
      <c r="A188" s="151" t="str">
        <f t="shared" si="3"/>
        <v>Wen_WW_HS</v>
      </c>
      <c r="B188" s="3" t="s">
        <v>117</v>
      </c>
      <c r="C188" s="3">
        <v>1043</v>
      </c>
      <c r="D188" s="3" t="s">
        <v>147</v>
      </c>
      <c r="E188" s="3" t="s">
        <v>121</v>
      </c>
      <c r="F188" s="3" t="s">
        <v>20</v>
      </c>
      <c r="G188" s="3" t="s">
        <v>25</v>
      </c>
      <c r="H188" s="3" t="s">
        <v>22</v>
      </c>
      <c r="I188" s="3" t="s">
        <v>23</v>
      </c>
      <c r="J188" s="3">
        <v>2</v>
      </c>
      <c r="K188" s="3">
        <v>3</v>
      </c>
      <c r="L188" s="4">
        <v>44481</v>
      </c>
      <c r="M188" s="7">
        <f>C188</f>
        <v>1043</v>
      </c>
      <c r="N188" s="7"/>
      <c r="O188" s="7"/>
      <c r="P188" s="7"/>
    </row>
    <row r="189" spans="1:16" hidden="1" x14ac:dyDescent="0.35">
      <c r="A189" s="151" t="str">
        <f t="shared" si="3"/>
        <v>Sto_WS_HS</v>
      </c>
      <c r="B189" s="3" t="s">
        <v>117</v>
      </c>
      <c r="C189" s="3">
        <v>1049</v>
      </c>
      <c r="D189" s="3" t="s">
        <v>150</v>
      </c>
      <c r="E189" s="3" t="s">
        <v>121</v>
      </c>
      <c r="F189" s="3" t="s">
        <v>39</v>
      </c>
      <c r="G189" s="3" t="s">
        <v>21</v>
      </c>
      <c r="H189" s="3" t="s">
        <v>35</v>
      </c>
      <c r="I189" s="3" t="s">
        <v>23</v>
      </c>
      <c r="J189" s="3">
        <v>2</v>
      </c>
      <c r="K189" s="3"/>
      <c r="L189" s="4">
        <v>44482</v>
      </c>
      <c r="M189" s="7">
        <v>1050</v>
      </c>
      <c r="N189" s="7">
        <v>27</v>
      </c>
      <c r="O189" s="7"/>
      <c r="P189" s="7"/>
    </row>
    <row r="190" spans="1:16" hidden="1" x14ac:dyDescent="0.35">
      <c r="A190" s="151" t="str">
        <f t="shared" si="3"/>
        <v>Sto_WS_HS</v>
      </c>
      <c r="B190" s="3" t="s">
        <v>117</v>
      </c>
      <c r="C190" s="3">
        <v>1045</v>
      </c>
      <c r="D190" s="3" t="s">
        <v>148</v>
      </c>
      <c r="E190" s="3" t="s">
        <v>121</v>
      </c>
      <c r="F190" s="3" t="s">
        <v>39</v>
      </c>
      <c r="G190" s="3" t="s">
        <v>21</v>
      </c>
      <c r="H190" s="3" t="s">
        <v>26</v>
      </c>
      <c r="I190" s="3" t="s">
        <v>27</v>
      </c>
      <c r="J190" s="3">
        <v>2</v>
      </c>
      <c r="K190" s="3">
        <v>1</v>
      </c>
      <c r="L190" s="4">
        <v>44481</v>
      </c>
      <c r="M190" s="7">
        <f>C190</f>
        <v>1045</v>
      </c>
      <c r="N190" s="7"/>
      <c r="O190" s="7"/>
      <c r="P190" s="7"/>
    </row>
    <row r="191" spans="1:16" hidden="1" x14ac:dyDescent="0.35">
      <c r="A191" s="151" t="str">
        <f t="shared" si="3"/>
        <v>Sto_WS_HS</v>
      </c>
      <c r="B191" s="3" t="s">
        <v>117</v>
      </c>
      <c r="C191" s="3">
        <v>1045</v>
      </c>
      <c r="D191" s="3" t="s">
        <v>148</v>
      </c>
      <c r="E191" s="3" t="s">
        <v>121</v>
      </c>
      <c r="F191" s="3" t="s">
        <v>39</v>
      </c>
      <c r="G191" s="3" t="s">
        <v>21</v>
      </c>
      <c r="H191" s="3" t="s">
        <v>28</v>
      </c>
      <c r="I191" s="3" t="s">
        <v>27</v>
      </c>
      <c r="J191" s="3">
        <v>2</v>
      </c>
      <c r="K191" s="3">
        <v>1</v>
      </c>
      <c r="L191" s="4">
        <v>44481</v>
      </c>
      <c r="M191" s="7">
        <v>1046</v>
      </c>
      <c r="N191" s="7"/>
      <c r="O191" s="7"/>
      <c r="P191" s="7"/>
    </row>
    <row r="192" spans="1:16" hidden="1" x14ac:dyDescent="0.35">
      <c r="A192" s="151" t="str">
        <f t="shared" si="3"/>
        <v>Wen_WS_HS</v>
      </c>
      <c r="B192" s="3" t="s">
        <v>117</v>
      </c>
      <c r="C192" s="3">
        <v>1047</v>
      </c>
      <c r="D192" s="3" t="s">
        <v>149</v>
      </c>
      <c r="E192" s="3" t="s">
        <v>121</v>
      </c>
      <c r="F192" s="3" t="s">
        <v>39</v>
      </c>
      <c r="G192" s="3" t="s">
        <v>25</v>
      </c>
      <c r="H192" s="3" t="s">
        <v>22</v>
      </c>
      <c r="I192" s="3" t="s">
        <v>23</v>
      </c>
      <c r="J192" s="3">
        <v>2</v>
      </c>
      <c r="K192" s="3">
        <v>3</v>
      </c>
      <c r="L192" s="4">
        <v>44481</v>
      </c>
      <c r="M192" s="7">
        <f>C192</f>
        <v>1047</v>
      </c>
      <c r="N192" s="7"/>
      <c r="O192" s="7"/>
      <c r="P192" s="7"/>
    </row>
    <row r="193" spans="1:16" hidden="1" x14ac:dyDescent="0.35">
      <c r="A193" s="151" t="str">
        <f t="shared" si="3"/>
        <v>Sto_WS_HS</v>
      </c>
      <c r="B193" s="3" t="s">
        <v>117</v>
      </c>
      <c r="C193" s="3">
        <v>1105</v>
      </c>
      <c r="D193" s="3" t="s">
        <v>183</v>
      </c>
      <c r="E193" s="3" t="s">
        <v>121</v>
      </c>
      <c r="F193" s="3" t="s">
        <v>39</v>
      </c>
      <c r="G193" s="3" t="s">
        <v>21</v>
      </c>
      <c r="H193" s="3" t="s">
        <v>35</v>
      </c>
      <c r="I193" s="3" t="s">
        <v>23</v>
      </c>
      <c r="J193" s="3">
        <v>2</v>
      </c>
      <c r="K193" s="3">
        <v>7</v>
      </c>
      <c r="L193" s="4">
        <v>44483</v>
      </c>
      <c r="M193" s="7">
        <v>1106</v>
      </c>
      <c r="N193" s="7">
        <v>27</v>
      </c>
      <c r="O193" s="7"/>
      <c r="P193" s="7"/>
    </row>
    <row r="194" spans="1:16" hidden="1" x14ac:dyDescent="0.35">
      <c r="A194" s="151" t="str">
        <f t="shared" si="3"/>
        <v>Sto_WS_HS</v>
      </c>
      <c r="B194" s="3" t="s">
        <v>117</v>
      </c>
      <c r="C194" s="3">
        <v>1049</v>
      </c>
      <c r="D194" s="3" t="s">
        <v>150</v>
      </c>
      <c r="E194" s="3" t="s">
        <v>121</v>
      </c>
      <c r="F194" s="3" t="s">
        <v>39</v>
      </c>
      <c r="G194" s="3" t="s">
        <v>21</v>
      </c>
      <c r="H194" s="3" t="s">
        <v>22</v>
      </c>
      <c r="I194" s="3" t="s">
        <v>23</v>
      </c>
      <c r="J194" s="3">
        <v>2</v>
      </c>
      <c r="K194" s="3"/>
      <c r="L194" s="4">
        <v>44482</v>
      </c>
      <c r="M194" s="7">
        <f>C194</f>
        <v>1049</v>
      </c>
      <c r="N194" s="7"/>
      <c r="O194" s="7"/>
      <c r="P194" s="7"/>
    </row>
    <row r="195" spans="1:16" hidden="1" x14ac:dyDescent="0.35">
      <c r="A195" s="151" t="str">
        <f t="shared" si="3"/>
        <v>Sto_WS_HS</v>
      </c>
      <c r="B195" s="3" t="s">
        <v>117</v>
      </c>
      <c r="C195" s="3">
        <v>1061</v>
      </c>
      <c r="D195" s="3" t="s">
        <v>156</v>
      </c>
      <c r="E195" s="3" t="s">
        <v>121</v>
      </c>
      <c r="F195" s="3" t="s">
        <v>39</v>
      </c>
      <c r="G195" s="3" t="s">
        <v>21</v>
      </c>
      <c r="H195" s="3" t="s">
        <v>35</v>
      </c>
      <c r="I195" s="3" t="s">
        <v>23</v>
      </c>
      <c r="J195" s="3">
        <v>2</v>
      </c>
      <c r="K195" s="3">
        <v>4</v>
      </c>
      <c r="L195" s="4">
        <v>44483</v>
      </c>
      <c r="M195" s="7">
        <v>1062</v>
      </c>
      <c r="N195" s="7">
        <v>28</v>
      </c>
      <c r="O195" s="7"/>
      <c r="P195" s="7"/>
    </row>
    <row r="196" spans="1:16" hidden="1" x14ac:dyDescent="0.35">
      <c r="A196" s="151" t="str">
        <f t="shared" si="3"/>
        <v>Wen_WS_HS</v>
      </c>
      <c r="B196" s="3" t="s">
        <v>117</v>
      </c>
      <c r="C196" s="3">
        <v>1051</v>
      </c>
      <c r="D196" s="3" t="s">
        <v>151</v>
      </c>
      <c r="E196" s="3" t="s">
        <v>121</v>
      </c>
      <c r="F196" s="3" t="s">
        <v>39</v>
      </c>
      <c r="G196" s="3" t="s">
        <v>25</v>
      </c>
      <c r="H196" s="3" t="s">
        <v>26</v>
      </c>
      <c r="I196" s="3" t="s">
        <v>23</v>
      </c>
      <c r="J196" s="3">
        <v>2</v>
      </c>
      <c r="K196" s="3"/>
      <c r="L196" s="4">
        <v>44484</v>
      </c>
      <c r="M196" s="7">
        <f>C196</f>
        <v>1051</v>
      </c>
      <c r="N196" s="7"/>
      <c r="O196" s="7"/>
      <c r="P196" s="7"/>
    </row>
    <row r="197" spans="1:16" hidden="1" x14ac:dyDescent="0.35">
      <c r="A197" s="151" t="str">
        <f t="shared" si="3"/>
        <v>Wen_WS_HS</v>
      </c>
      <c r="B197" s="3" t="s">
        <v>117</v>
      </c>
      <c r="C197" s="3">
        <v>1051</v>
      </c>
      <c r="D197" s="3" t="s">
        <v>151</v>
      </c>
      <c r="E197" s="3" t="s">
        <v>121</v>
      </c>
      <c r="F197" s="3" t="s">
        <v>39</v>
      </c>
      <c r="G197" s="3" t="s">
        <v>25</v>
      </c>
      <c r="H197" s="3"/>
      <c r="I197" s="3" t="s">
        <v>23</v>
      </c>
      <c r="J197" s="3">
        <v>2</v>
      </c>
      <c r="K197" s="3"/>
      <c r="L197" s="4"/>
      <c r="M197" s="7">
        <v>1052</v>
      </c>
      <c r="N197" s="7"/>
      <c r="O197" s="7"/>
      <c r="P197" s="7"/>
    </row>
    <row r="198" spans="1:16" hidden="1" x14ac:dyDescent="0.35">
      <c r="A198" s="151" t="str">
        <f t="shared" ref="A198:A261" si="4">LEFT(G198,3)&amp;"_"&amp;F198&amp;"_"&amp;E198</f>
        <v>Sto_WW_HS</v>
      </c>
      <c r="B198" s="3" t="s">
        <v>117</v>
      </c>
      <c r="C198" s="3">
        <v>1053</v>
      </c>
      <c r="D198" s="3" t="s">
        <v>152</v>
      </c>
      <c r="E198" s="3" t="s">
        <v>121</v>
      </c>
      <c r="F198" s="3" t="s">
        <v>20</v>
      </c>
      <c r="G198" s="3" t="s">
        <v>21</v>
      </c>
      <c r="H198" s="3" t="s">
        <v>26</v>
      </c>
      <c r="I198" s="3" t="s">
        <v>27</v>
      </c>
      <c r="J198" s="3">
        <v>2</v>
      </c>
      <c r="K198" s="3"/>
      <c r="L198" s="4">
        <v>44484</v>
      </c>
      <c r="M198" s="7">
        <f>C198</f>
        <v>1053</v>
      </c>
      <c r="N198" s="7"/>
      <c r="O198" s="7"/>
      <c r="P198" s="7"/>
    </row>
    <row r="199" spans="1:16" hidden="1" x14ac:dyDescent="0.35">
      <c r="A199" s="151" t="str">
        <f t="shared" si="4"/>
        <v>Sto_WW_HS</v>
      </c>
      <c r="B199" s="3" t="s">
        <v>117</v>
      </c>
      <c r="C199" s="3">
        <v>1053</v>
      </c>
      <c r="D199" s="3" t="s">
        <v>152</v>
      </c>
      <c r="E199" s="3" t="s">
        <v>121</v>
      </c>
      <c r="F199" s="3" t="s">
        <v>20</v>
      </c>
      <c r="G199" s="3" t="s">
        <v>21</v>
      </c>
      <c r="H199" s="3" t="s">
        <v>26</v>
      </c>
      <c r="I199" s="3" t="s">
        <v>27</v>
      </c>
      <c r="J199" s="3">
        <v>2</v>
      </c>
      <c r="K199" s="3"/>
      <c r="L199" s="4">
        <v>44484</v>
      </c>
      <c r="M199" s="7">
        <v>1054</v>
      </c>
      <c r="N199" s="7"/>
      <c r="O199" s="7"/>
      <c r="P199" s="7"/>
    </row>
    <row r="200" spans="1:16" hidden="1" x14ac:dyDescent="0.35">
      <c r="A200" s="151" t="str">
        <f t="shared" si="4"/>
        <v>Wen_WW_HS</v>
      </c>
      <c r="B200" s="3" t="s">
        <v>117</v>
      </c>
      <c r="C200" s="3">
        <v>1055</v>
      </c>
      <c r="D200" s="3" t="s">
        <v>153</v>
      </c>
      <c r="E200" s="3" t="s">
        <v>121</v>
      </c>
      <c r="F200" s="3" t="s">
        <v>20</v>
      </c>
      <c r="G200" s="3" t="s">
        <v>25</v>
      </c>
      <c r="H200" s="3" t="s">
        <v>22</v>
      </c>
      <c r="I200" s="3" t="s">
        <v>23</v>
      </c>
      <c r="J200" s="3">
        <v>2</v>
      </c>
      <c r="K200" s="3"/>
      <c r="L200" s="4">
        <v>44482</v>
      </c>
      <c r="M200" s="7">
        <f>C200</f>
        <v>1055</v>
      </c>
      <c r="N200" s="7"/>
      <c r="O200" s="7"/>
      <c r="P200" s="7"/>
    </row>
    <row r="201" spans="1:16" hidden="1" x14ac:dyDescent="0.35">
      <c r="A201" s="151" t="str">
        <f t="shared" si="4"/>
        <v>Sto_WS_HS</v>
      </c>
      <c r="B201" s="3" t="s">
        <v>117</v>
      </c>
      <c r="C201" s="3">
        <v>1075</v>
      </c>
      <c r="D201" s="3" t="s">
        <v>165</v>
      </c>
      <c r="E201" s="3" t="s">
        <v>121</v>
      </c>
      <c r="F201" s="3" t="s">
        <v>39</v>
      </c>
      <c r="G201" s="3" t="s">
        <v>21</v>
      </c>
      <c r="H201" s="3" t="s">
        <v>35</v>
      </c>
      <c r="I201" s="3" t="s">
        <v>23</v>
      </c>
      <c r="J201" s="3">
        <v>2</v>
      </c>
      <c r="K201" s="3">
        <v>5</v>
      </c>
      <c r="L201" s="4">
        <v>44482</v>
      </c>
      <c r="M201" s="7">
        <v>1076</v>
      </c>
      <c r="N201" s="7">
        <v>28</v>
      </c>
      <c r="O201" s="7"/>
      <c r="P201" s="7"/>
    </row>
    <row r="202" spans="1:16" hidden="1" x14ac:dyDescent="0.35">
      <c r="A202" s="151" t="str">
        <f t="shared" si="4"/>
        <v>Sto_WS_HS</v>
      </c>
      <c r="B202" s="3" t="s">
        <v>117</v>
      </c>
      <c r="C202" s="3">
        <v>1057</v>
      </c>
      <c r="D202" s="3" t="s">
        <v>154</v>
      </c>
      <c r="E202" s="3" t="s">
        <v>121</v>
      </c>
      <c r="F202" s="3" t="s">
        <v>39</v>
      </c>
      <c r="G202" s="3" t="s">
        <v>21</v>
      </c>
      <c r="H202" s="3" t="s">
        <v>26</v>
      </c>
      <c r="I202" s="3" t="s">
        <v>27</v>
      </c>
      <c r="J202" s="3">
        <v>2</v>
      </c>
      <c r="K202" s="3"/>
      <c r="L202" s="4">
        <v>44483</v>
      </c>
      <c r="M202" s="7">
        <f>C202</f>
        <v>1057</v>
      </c>
      <c r="N202" s="7"/>
      <c r="O202" s="7"/>
      <c r="P202" s="7"/>
    </row>
    <row r="203" spans="1:16" hidden="1" x14ac:dyDescent="0.35">
      <c r="A203" s="151" t="str">
        <f t="shared" si="4"/>
        <v>Sto_WS_HS</v>
      </c>
      <c r="B203" s="3" t="s">
        <v>117</v>
      </c>
      <c r="C203" s="3">
        <v>1057</v>
      </c>
      <c r="D203" s="3" t="s">
        <v>154</v>
      </c>
      <c r="E203" s="3" t="s">
        <v>121</v>
      </c>
      <c r="F203" s="3" t="s">
        <v>39</v>
      </c>
      <c r="G203" s="3" t="s">
        <v>21</v>
      </c>
      <c r="H203" s="3" t="s">
        <v>28</v>
      </c>
      <c r="I203" s="3" t="s">
        <v>27</v>
      </c>
      <c r="J203" s="3">
        <v>2</v>
      </c>
      <c r="K203" s="3"/>
      <c r="L203" s="4">
        <v>44483</v>
      </c>
      <c r="M203" s="7">
        <v>1058</v>
      </c>
      <c r="N203" s="7"/>
      <c r="O203" s="7"/>
      <c r="P203" s="7"/>
    </row>
    <row r="204" spans="1:16" hidden="1" x14ac:dyDescent="0.35">
      <c r="A204" s="151" t="str">
        <f t="shared" si="4"/>
        <v>Wen_WS_HS</v>
      </c>
      <c r="B204" s="3" t="s">
        <v>117</v>
      </c>
      <c r="C204" s="3">
        <v>1059</v>
      </c>
      <c r="D204" s="3" t="s">
        <v>155</v>
      </c>
      <c r="E204" s="3" t="s">
        <v>121</v>
      </c>
      <c r="F204" s="3" t="s">
        <v>39</v>
      </c>
      <c r="G204" s="3" t="s">
        <v>25</v>
      </c>
      <c r="H204" s="3" t="s">
        <v>26</v>
      </c>
      <c r="I204" s="3" t="s">
        <v>23</v>
      </c>
      <c r="J204" s="3">
        <v>2</v>
      </c>
      <c r="K204" s="3"/>
      <c r="L204" s="4">
        <v>44481</v>
      </c>
      <c r="M204" s="7">
        <f>C204</f>
        <v>1059</v>
      </c>
      <c r="N204" s="7"/>
      <c r="O204" s="7"/>
      <c r="P204" s="7"/>
    </row>
    <row r="205" spans="1:16" hidden="1" x14ac:dyDescent="0.35">
      <c r="A205" s="151" t="str">
        <f t="shared" si="4"/>
        <v>Wen_WS_HS</v>
      </c>
      <c r="B205" s="3" t="s">
        <v>117</v>
      </c>
      <c r="C205" s="3">
        <v>1059</v>
      </c>
      <c r="D205" s="3" t="s">
        <v>155</v>
      </c>
      <c r="E205" s="3" t="s">
        <v>121</v>
      </c>
      <c r="F205" s="3" t="s">
        <v>39</v>
      </c>
      <c r="G205" s="3" t="s">
        <v>25</v>
      </c>
      <c r="H205" s="3" t="s">
        <v>28</v>
      </c>
      <c r="I205" s="3" t="s">
        <v>23</v>
      </c>
      <c r="J205" s="3">
        <v>2</v>
      </c>
      <c r="K205" s="3"/>
      <c r="L205" s="4">
        <v>44481</v>
      </c>
      <c r="M205" s="7">
        <v>1060</v>
      </c>
      <c r="N205" s="7"/>
      <c r="O205" s="7"/>
      <c r="P205" s="7"/>
    </row>
    <row r="206" spans="1:16" hidden="1" x14ac:dyDescent="0.35">
      <c r="A206" s="151" t="str">
        <f t="shared" si="4"/>
        <v>Sto_WS_HS</v>
      </c>
      <c r="B206" s="3" t="s">
        <v>117</v>
      </c>
      <c r="C206" s="3">
        <v>1061</v>
      </c>
      <c r="D206" s="3" t="s">
        <v>156</v>
      </c>
      <c r="E206" s="3" t="s">
        <v>121</v>
      </c>
      <c r="F206" s="3" t="s">
        <v>39</v>
      </c>
      <c r="G206" s="3" t="s">
        <v>21</v>
      </c>
      <c r="H206" s="3" t="s">
        <v>22</v>
      </c>
      <c r="I206" s="3" t="s">
        <v>23</v>
      </c>
      <c r="J206" s="3">
        <v>2</v>
      </c>
      <c r="K206" s="3">
        <v>4</v>
      </c>
      <c r="L206" s="4">
        <v>44483</v>
      </c>
      <c r="M206" s="7">
        <f>C206</f>
        <v>1061</v>
      </c>
      <c r="N206" s="7"/>
      <c r="O206" s="7"/>
      <c r="P206" s="7"/>
    </row>
    <row r="207" spans="1:16" hidden="1" x14ac:dyDescent="0.35">
      <c r="A207" s="151" t="str">
        <f t="shared" si="4"/>
        <v>Wen_WS_HS</v>
      </c>
      <c r="B207" s="3" t="s">
        <v>117</v>
      </c>
      <c r="C207" s="3">
        <v>1071</v>
      </c>
      <c r="D207" s="3" t="s">
        <v>163</v>
      </c>
      <c r="E207" s="3" t="s">
        <v>121</v>
      </c>
      <c r="F207" s="3" t="s">
        <v>39</v>
      </c>
      <c r="G207" s="3" t="s">
        <v>25</v>
      </c>
      <c r="H207" s="3" t="s">
        <v>35</v>
      </c>
      <c r="I207" s="3" t="s">
        <v>23</v>
      </c>
      <c r="J207" s="3">
        <v>2</v>
      </c>
      <c r="K207" s="3">
        <v>4</v>
      </c>
      <c r="L207" s="4">
        <v>44482</v>
      </c>
      <c r="M207" s="7">
        <v>1072</v>
      </c>
      <c r="N207" s="7">
        <v>29</v>
      </c>
      <c r="O207" s="7"/>
      <c r="P207" s="7"/>
    </row>
    <row r="208" spans="1:16" hidden="1" x14ac:dyDescent="0.35">
      <c r="A208" s="151" t="str">
        <f t="shared" si="4"/>
        <v>Wen_WW_HS</v>
      </c>
      <c r="B208" s="3" t="s">
        <v>117</v>
      </c>
      <c r="C208" s="3">
        <v>1063</v>
      </c>
      <c r="D208" s="3" t="s">
        <v>157</v>
      </c>
      <c r="E208" s="3" t="s">
        <v>121</v>
      </c>
      <c r="F208" s="3" t="s">
        <v>20</v>
      </c>
      <c r="G208" s="3" t="s">
        <v>25</v>
      </c>
      <c r="H208" s="3" t="s">
        <v>26</v>
      </c>
      <c r="I208" s="3" t="s">
        <v>27</v>
      </c>
      <c r="J208" s="3">
        <v>2</v>
      </c>
      <c r="K208" s="3">
        <v>2</v>
      </c>
      <c r="L208" s="4">
        <v>44481</v>
      </c>
      <c r="M208" s="7">
        <f>C208</f>
        <v>1063</v>
      </c>
      <c r="N208" s="7"/>
      <c r="O208" s="7"/>
      <c r="P208" s="7"/>
    </row>
    <row r="209" spans="1:16" hidden="1" x14ac:dyDescent="0.35">
      <c r="A209" s="151" t="str">
        <f t="shared" si="4"/>
        <v>Wen_WW_HS</v>
      </c>
      <c r="B209" s="3" t="s">
        <v>117</v>
      </c>
      <c r="C209" s="3">
        <v>1063</v>
      </c>
      <c r="D209" s="3" t="s">
        <v>157</v>
      </c>
      <c r="E209" s="3" t="s">
        <v>121</v>
      </c>
      <c r="F209" s="3" t="s">
        <v>20</v>
      </c>
      <c r="G209" s="3" t="s">
        <v>25</v>
      </c>
      <c r="H209" s="3" t="s">
        <v>28</v>
      </c>
      <c r="I209" s="3" t="s">
        <v>27</v>
      </c>
      <c r="J209" s="3">
        <v>2</v>
      </c>
      <c r="K209" s="3">
        <v>2</v>
      </c>
      <c r="L209" s="4">
        <v>44481</v>
      </c>
      <c r="M209" s="7">
        <v>1064</v>
      </c>
      <c r="N209" s="7"/>
      <c r="O209" s="7"/>
      <c r="P209" s="7"/>
    </row>
    <row r="210" spans="1:16" hidden="1" x14ac:dyDescent="0.35">
      <c r="A210" s="151" t="str">
        <f t="shared" si="4"/>
        <v>Sto_WW_HS</v>
      </c>
      <c r="B210" s="3" t="s">
        <v>117</v>
      </c>
      <c r="C210" s="3">
        <v>1065</v>
      </c>
      <c r="D210" s="3" t="s">
        <v>158</v>
      </c>
      <c r="E210" s="3" t="s">
        <v>121</v>
      </c>
      <c r="F210" s="3" t="s">
        <v>20</v>
      </c>
      <c r="G210" s="3" t="s">
        <v>21</v>
      </c>
      <c r="H210" s="3" t="s">
        <v>22</v>
      </c>
      <c r="I210" s="3" t="s">
        <v>23</v>
      </c>
      <c r="J210" s="3">
        <v>2</v>
      </c>
      <c r="K210" s="3">
        <v>4</v>
      </c>
      <c r="L210" s="4">
        <v>44482</v>
      </c>
      <c r="M210" s="7">
        <f>C210</f>
        <v>1065</v>
      </c>
      <c r="N210" s="7"/>
      <c r="O210" s="7"/>
      <c r="P210" s="7"/>
    </row>
    <row r="211" spans="1:16" hidden="1" x14ac:dyDescent="0.35">
      <c r="A211" s="151" t="str">
        <f t="shared" si="4"/>
        <v>Wen_WS_HS</v>
      </c>
      <c r="B211" s="3" t="s">
        <v>117</v>
      </c>
      <c r="C211" s="3">
        <v>1087</v>
      </c>
      <c r="D211" s="3" t="s">
        <v>174</v>
      </c>
      <c r="E211" s="3" t="s">
        <v>121</v>
      </c>
      <c r="F211" s="3" t="s">
        <v>39</v>
      </c>
      <c r="G211" s="3" t="s">
        <v>25</v>
      </c>
      <c r="H211" s="3" t="s">
        <v>35</v>
      </c>
      <c r="I211" s="3" t="s">
        <v>23</v>
      </c>
      <c r="J211" s="3">
        <v>2</v>
      </c>
      <c r="K211" s="3">
        <v>5</v>
      </c>
      <c r="L211" s="4">
        <v>44482</v>
      </c>
      <c r="M211" s="7">
        <v>1088</v>
      </c>
      <c r="N211" s="7">
        <v>29</v>
      </c>
      <c r="O211" s="7"/>
      <c r="P211" s="7"/>
    </row>
    <row r="212" spans="1:16" hidden="1" x14ac:dyDescent="0.35">
      <c r="A212" s="151" t="str">
        <f t="shared" si="4"/>
        <v>Wen_WS_HS</v>
      </c>
      <c r="B212" s="3" t="s">
        <v>117</v>
      </c>
      <c r="C212" s="3">
        <v>1033</v>
      </c>
      <c r="D212" s="3" t="s">
        <v>138</v>
      </c>
      <c r="E212" s="3" t="s">
        <v>121</v>
      </c>
      <c r="F212" s="3" t="s">
        <v>39</v>
      </c>
      <c r="G212" s="3" t="s">
        <v>25</v>
      </c>
      <c r="H212" s="3" t="s">
        <v>35</v>
      </c>
      <c r="I212" s="3" t="s">
        <v>23</v>
      </c>
      <c r="J212" s="3">
        <v>2</v>
      </c>
      <c r="K212" s="3">
        <v>2</v>
      </c>
      <c r="L212" s="4">
        <v>44481</v>
      </c>
      <c r="M212" s="7">
        <v>1034</v>
      </c>
      <c r="N212" s="7">
        <v>30</v>
      </c>
      <c r="O212" s="7"/>
      <c r="P212" s="7"/>
    </row>
    <row r="213" spans="1:16" hidden="1" x14ac:dyDescent="0.35">
      <c r="A213" s="151" t="str">
        <f t="shared" si="4"/>
        <v>Wen_WW_HS</v>
      </c>
      <c r="B213" s="3" t="s">
        <v>117</v>
      </c>
      <c r="C213" s="3">
        <v>1067</v>
      </c>
      <c r="D213" s="3" t="s">
        <v>159</v>
      </c>
      <c r="E213" s="3" t="s">
        <v>121</v>
      </c>
      <c r="F213" s="3" t="s">
        <v>20</v>
      </c>
      <c r="G213" s="3" t="s">
        <v>25</v>
      </c>
      <c r="H213" s="3"/>
      <c r="I213" s="3" t="s">
        <v>23</v>
      </c>
      <c r="J213" s="3"/>
      <c r="K213" s="3">
        <v>4</v>
      </c>
      <c r="L213" s="4"/>
      <c r="M213" s="7">
        <v>1068</v>
      </c>
      <c r="N213" s="7"/>
      <c r="O213" s="7"/>
      <c r="P213" s="7"/>
    </row>
    <row r="214" spans="1:16" hidden="1" x14ac:dyDescent="0.35">
      <c r="A214" s="151" t="str">
        <f t="shared" si="4"/>
        <v>Sto_WW_HS</v>
      </c>
      <c r="B214" s="3" t="s">
        <v>117</v>
      </c>
      <c r="C214" s="3">
        <v>1069</v>
      </c>
      <c r="D214" s="3" t="s">
        <v>162</v>
      </c>
      <c r="E214" s="3" t="s">
        <v>121</v>
      </c>
      <c r="F214" s="3" t="s">
        <v>20</v>
      </c>
      <c r="G214" s="3" t="s">
        <v>21</v>
      </c>
      <c r="H214" s="3" t="s">
        <v>26</v>
      </c>
      <c r="I214" s="3" t="s">
        <v>27</v>
      </c>
      <c r="J214" s="3">
        <v>2</v>
      </c>
      <c r="K214" s="3">
        <v>2</v>
      </c>
      <c r="L214" s="4">
        <v>44481</v>
      </c>
      <c r="M214" s="7">
        <f>C214</f>
        <v>1069</v>
      </c>
      <c r="N214" s="7"/>
      <c r="O214" s="7"/>
      <c r="P214" s="7"/>
    </row>
    <row r="215" spans="1:16" hidden="1" x14ac:dyDescent="0.35">
      <c r="A215" s="151" t="str">
        <f t="shared" si="4"/>
        <v>Sto_WW_HS</v>
      </c>
      <c r="B215" s="3" t="s">
        <v>117</v>
      </c>
      <c r="C215" s="3">
        <v>1069</v>
      </c>
      <c r="D215" s="3" t="s">
        <v>162</v>
      </c>
      <c r="E215" s="3" t="s">
        <v>121</v>
      </c>
      <c r="F215" s="3" t="s">
        <v>20</v>
      </c>
      <c r="G215" s="3" t="s">
        <v>21</v>
      </c>
      <c r="H215" s="3" t="s">
        <v>28</v>
      </c>
      <c r="I215" s="3" t="s">
        <v>27</v>
      </c>
      <c r="J215" s="3">
        <v>2</v>
      </c>
      <c r="K215" s="3">
        <v>2</v>
      </c>
      <c r="L215" s="4">
        <v>44481</v>
      </c>
      <c r="M215" s="7">
        <v>1070</v>
      </c>
      <c r="N215" s="7"/>
      <c r="O215" s="7"/>
      <c r="P215" s="7"/>
    </row>
    <row r="216" spans="1:16" hidden="1" x14ac:dyDescent="0.35">
      <c r="A216" s="151" t="str">
        <f t="shared" si="4"/>
        <v>Wen_WS_HS</v>
      </c>
      <c r="B216" s="3" t="s">
        <v>117</v>
      </c>
      <c r="C216" s="3">
        <v>1071</v>
      </c>
      <c r="D216" s="3" t="s">
        <v>163</v>
      </c>
      <c r="E216" s="3" t="s">
        <v>121</v>
      </c>
      <c r="F216" s="3" t="s">
        <v>39</v>
      </c>
      <c r="G216" s="3" t="s">
        <v>25</v>
      </c>
      <c r="H216" s="3" t="s">
        <v>22</v>
      </c>
      <c r="I216" s="3" t="s">
        <v>23</v>
      </c>
      <c r="J216" s="3">
        <v>2</v>
      </c>
      <c r="K216" s="3">
        <v>4</v>
      </c>
      <c r="L216" s="4">
        <v>44482</v>
      </c>
      <c r="M216" s="7">
        <f>C216</f>
        <v>1071</v>
      </c>
      <c r="N216" s="7"/>
      <c r="O216" s="7"/>
      <c r="P216" s="7"/>
    </row>
    <row r="217" spans="1:16" hidden="1" x14ac:dyDescent="0.35">
      <c r="A217" s="151" t="str">
        <f t="shared" si="4"/>
        <v>Wen_WS_HS</v>
      </c>
      <c r="B217" s="3" t="s">
        <v>117</v>
      </c>
      <c r="C217" s="3">
        <v>1099</v>
      </c>
      <c r="D217" s="3" t="s">
        <v>180</v>
      </c>
      <c r="E217" s="3" t="s">
        <v>121</v>
      </c>
      <c r="F217" s="3" t="s">
        <v>39</v>
      </c>
      <c r="G217" s="3" t="s">
        <v>25</v>
      </c>
      <c r="H217" s="3" t="s">
        <v>35</v>
      </c>
      <c r="I217" s="3" t="s">
        <v>23</v>
      </c>
      <c r="J217" s="3">
        <v>2</v>
      </c>
      <c r="K217" s="3">
        <v>6</v>
      </c>
      <c r="L217" s="4">
        <v>44482</v>
      </c>
      <c r="M217" s="7">
        <v>1100</v>
      </c>
      <c r="N217" s="7">
        <v>30</v>
      </c>
      <c r="O217" s="7"/>
      <c r="P217" s="7"/>
    </row>
    <row r="218" spans="1:16" hidden="1" x14ac:dyDescent="0.35">
      <c r="A218" s="151" t="str">
        <f t="shared" si="4"/>
        <v>Sto_WS_HS</v>
      </c>
      <c r="B218" s="3" t="s">
        <v>117</v>
      </c>
      <c r="C218" s="3">
        <v>1073</v>
      </c>
      <c r="D218" s="3" t="s">
        <v>164</v>
      </c>
      <c r="E218" s="3" t="s">
        <v>121</v>
      </c>
      <c r="F218" s="3" t="s">
        <v>39</v>
      </c>
      <c r="G218" s="3" t="s">
        <v>21</v>
      </c>
      <c r="H218" s="3" t="s">
        <v>26</v>
      </c>
      <c r="I218" s="3" t="s">
        <v>27</v>
      </c>
      <c r="J218" s="3">
        <v>2</v>
      </c>
      <c r="K218" s="3">
        <v>2</v>
      </c>
      <c r="L218" s="4">
        <v>44481</v>
      </c>
      <c r="M218" s="7">
        <f>C218</f>
        <v>1073</v>
      </c>
      <c r="N218" s="7"/>
      <c r="O218" s="7"/>
      <c r="P218" s="7"/>
    </row>
    <row r="219" spans="1:16" hidden="1" x14ac:dyDescent="0.35">
      <c r="A219" s="151" t="str">
        <f t="shared" si="4"/>
        <v>Sto_WS_HS</v>
      </c>
      <c r="B219" s="3" t="s">
        <v>117</v>
      </c>
      <c r="C219" s="3">
        <v>1073</v>
      </c>
      <c r="D219" s="3" t="s">
        <v>164</v>
      </c>
      <c r="E219" s="3" t="s">
        <v>121</v>
      </c>
      <c r="F219" s="3" t="s">
        <v>39</v>
      </c>
      <c r="G219" s="3" t="s">
        <v>21</v>
      </c>
      <c r="H219" s="3" t="s">
        <v>28</v>
      </c>
      <c r="I219" s="3" t="s">
        <v>27</v>
      </c>
      <c r="J219" s="3">
        <v>2</v>
      </c>
      <c r="K219" s="3">
        <v>2</v>
      </c>
      <c r="L219" s="4">
        <v>44481</v>
      </c>
      <c r="M219" s="7">
        <v>1074</v>
      </c>
      <c r="N219" s="7"/>
      <c r="O219" s="7"/>
      <c r="P219" s="7"/>
    </row>
    <row r="220" spans="1:16" hidden="1" x14ac:dyDescent="0.35">
      <c r="A220" s="151" t="str">
        <f t="shared" si="4"/>
        <v>Sto_WS_HS</v>
      </c>
      <c r="B220" s="3" t="s">
        <v>117</v>
      </c>
      <c r="C220" s="3">
        <v>1075</v>
      </c>
      <c r="D220" s="3" t="s">
        <v>165</v>
      </c>
      <c r="E220" s="3" t="s">
        <v>121</v>
      </c>
      <c r="F220" s="3" t="s">
        <v>39</v>
      </c>
      <c r="G220" s="3" t="s">
        <v>21</v>
      </c>
      <c r="H220" s="3" t="s">
        <v>22</v>
      </c>
      <c r="I220" s="3" t="s">
        <v>23</v>
      </c>
      <c r="J220" s="3">
        <v>2</v>
      </c>
      <c r="K220" s="3">
        <v>5</v>
      </c>
      <c r="L220" s="4">
        <v>44482</v>
      </c>
      <c r="M220" s="7">
        <f>C220</f>
        <v>1075</v>
      </c>
      <c r="N220" s="7"/>
      <c r="O220" s="7"/>
      <c r="P220" s="7"/>
    </row>
    <row r="221" spans="1:16" hidden="1" x14ac:dyDescent="0.35">
      <c r="A221" s="151" t="str">
        <f t="shared" si="4"/>
        <v>Wen_WS_HS</v>
      </c>
      <c r="B221" s="3" t="s">
        <v>117</v>
      </c>
      <c r="C221" s="3">
        <v>1047</v>
      </c>
      <c r="D221" s="3" t="s">
        <v>149</v>
      </c>
      <c r="E221" s="3" t="s">
        <v>121</v>
      </c>
      <c r="F221" s="3" t="s">
        <v>39</v>
      </c>
      <c r="G221" s="3" t="s">
        <v>25</v>
      </c>
      <c r="H221" s="3" t="s">
        <v>35</v>
      </c>
      <c r="I221" s="3" t="s">
        <v>23</v>
      </c>
      <c r="J221" s="3">
        <v>2</v>
      </c>
      <c r="K221" s="3">
        <v>3</v>
      </c>
      <c r="L221" s="4">
        <v>44481</v>
      </c>
      <c r="M221" s="7">
        <v>1048</v>
      </c>
      <c r="N221" s="7">
        <v>31</v>
      </c>
      <c r="O221" s="7"/>
      <c r="P221" s="7"/>
    </row>
    <row r="222" spans="1:16" hidden="1" x14ac:dyDescent="0.35">
      <c r="A222" s="151" t="str">
        <f t="shared" si="4"/>
        <v>Wen_WS_HS</v>
      </c>
      <c r="B222" s="3" t="s">
        <v>117</v>
      </c>
      <c r="C222" s="3">
        <v>1077</v>
      </c>
      <c r="D222" s="3" t="s">
        <v>166</v>
      </c>
      <c r="E222" s="3" t="s">
        <v>121</v>
      </c>
      <c r="F222" s="3" t="s">
        <v>39</v>
      </c>
      <c r="G222" s="3" t="s">
        <v>25</v>
      </c>
      <c r="H222" s="3" t="s">
        <v>26</v>
      </c>
      <c r="I222" s="3" t="s">
        <v>27</v>
      </c>
      <c r="J222" s="3"/>
      <c r="K222" s="3">
        <v>2</v>
      </c>
      <c r="L222" s="4"/>
      <c r="M222" s="7">
        <f>C222</f>
        <v>1077</v>
      </c>
      <c r="N222" s="7"/>
      <c r="O222" s="7"/>
      <c r="P222" s="7"/>
    </row>
    <row r="223" spans="1:16" hidden="1" x14ac:dyDescent="0.35">
      <c r="A223" s="151" t="str">
        <f t="shared" si="4"/>
        <v>Wen_WS_HS</v>
      </c>
      <c r="B223" s="3" t="s">
        <v>117</v>
      </c>
      <c r="C223" s="3">
        <v>1103</v>
      </c>
      <c r="D223" s="3" t="s">
        <v>182</v>
      </c>
      <c r="E223" s="3" t="s">
        <v>121</v>
      </c>
      <c r="F223" s="3" t="s">
        <v>39</v>
      </c>
      <c r="G223" s="3" t="s">
        <v>25</v>
      </c>
      <c r="H223" s="3" t="s">
        <v>35</v>
      </c>
      <c r="I223" s="3" t="s">
        <v>23</v>
      </c>
      <c r="J223" s="3">
        <v>2</v>
      </c>
      <c r="K223" s="3">
        <v>7</v>
      </c>
      <c r="L223" s="4">
        <v>44483</v>
      </c>
      <c r="M223" s="7">
        <v>1104</v>
      </c>
      <c r="N223" s="7">
        <v>31</v>
      </c>
      <c r="O223" s="7"/>
      <c r="P223" s="7"/>
    </row>
    <row r="224" spans="1:16" hidden="1" x14ac:dyDescent="0.35">
      <c r="A224" s="151" t="str">
        <f t="shared" si="4"/>
        <v>Sto_WW_HS</v>
      </c>
      <c r="B224" s="3" t="s">
        <v>117</v>
      </c>
      <c r="C224" s="3">
        <v>1079</v>
      </c>
      <c r="D224" s="3" t="s">
        <v>170</v>
      </c>
      <c r="E224" s="3" t="s">
        <v>121</v>
      </c>
      <c r="F224" s="3" t="s">
        <v>20</v>
      </c>
      <c r="G224" s="3" t="s">
        <v>21</v>
      </c>
      <c r="H224" s="3" t="s">
        <v>22</v>
      </c>
      <c r="I224" s="3" t="s">
        <v>23</v>
      </c>
      <c r="J224" s="3">
        <v>2</v>
      </c>
      <c r="K224" s="3">
        <v>5</v>
      </c>
      <c r="L224" s="4">
        <v>44482</v>
      </c>
      <c r="M224" s="7">
        <f>C224</f>
        <v>1079</v>
      </c>
      <c r="N224" s="7"/>
      <c r="O224" s="7"/>
      <c r="P224" s="7"/>
    </row>
    <row r="225" spans="1:16" hidden="1" x14ac:dyDescent="0.35">
      <c r="A225" s="151" t="str">
        <f t="shared" si="4"/>
        <v>Wen_WS_HS</v>
      </c>
      <c r="B225" s="3" t="s">
        <v>117</v>
      </c>
      <c r="C225" s="3">
        <v>1023</v>
      </c>
      <c r="D225" s="3" t="s">
        <v>133</v>
      </c>
      <c r="E225" s="3" t="s">
        <v>121</v>
      </c>
      <c r="F225" s="3" t="s">
        <v>39</v>
      </c>
      <c r="G225" s="3" t="s">
        <v>25</v>
      </c>
      <c r="H225" s="3" t="s">
        <v>35</v>
      </c>
      <c r="I225" s="3" t="s">
        <v>23</v>
      </c>
      <c r="J225" s="3">
        <v>2</v>
      </c>
      <c r="K225" s="3">
        <v>1</v>
      </c>
      <c r="L225" s="4">
        <v>44481</v>
      </c>
      <c r="M225" s="7">
        <v>1024</v>
      </c>
      <c r="N225" s="7">
        <v>32</v>
      </c>
      <c r="O225" s="7"/>
      <c r="P225" s="7"/>
    </row>
    <row r="226" spans="1:16" hidden="1" x14ac:dyDescent="0.35">
      <c r="A226" s="151" t="str">
        <f t="shared" si="4"/>
        <v>Sto_WS_HS</v>
      </c>
      <c r="B226" s="3" t="s">
        <v>117</v>
      </c>
      <c r="C226" s="3">
        <v>1081</v>
      </c>
      <c r="D226" s="3" t="s">
        <v>171</v>
      </c>
      <c r="E226" s="3" t="s">
        <v>121</v>
      </c>
      <c r="F226" s="3" t="s">
        <v>39</v>
      </c>
      <c r="G226" s="3" t="s">
        <v>21</v>
      </c>
      <c r="H226" s="3" t="s">
        <v>26</v>
      </c>
      <c r="I226" s="3" t="s">
        <v>27</v>
      </c>
      <c r="J226" s="3">
        <v>2</v>
      </c>
      <c r="K226" s="3">
        <v>3</v>
      </c>
      <c r="L226" s="4">
        <v>44482</v>
      </c>
      <c r="M226" s="7">
        <f>C226</f>
        <v>1081</v>
      </c>
      <c r="N226" s="7"/>
      <c r="O226" s="7"/>
      <c r="P226" s="7"/>
    </row>
    <row r="227" spans="1:16" hidden="1" x14ac:dyDescent="0.35">
      <c r="A227" s="151" t="str">
        <f t="shared" si="4"/>
        <v>Sto_WS_HS</v>
      </c>
      <c r="B227" s="3" t="s">
        <v>117</v>
      </c>
      <c r="C227" s="3">
        <v>1081</v>
      </c>
      <c r="D227" s="3" t="s">
        <v>171</v>
      </c>
      <c r="E227" s="3" t="s">
        <v>121</v>
      </c>
      <c r="F227" s="3" t="s">
        <v>39</v>
      </c>
      <c r="G227" s="3" t="s">
        <v>21</v>
      </c>
      <c r="H227" s="3"/>
      <c r="I227" s="3"/>
      <c r="J227" s="3"/>
      <c r="K227" s="3">
        <v>3</v>
      </c>
      <c r="L227" s="4">
        <v>44482</v>
      </c>
      <c r="M227" s="7">
        <v>1082</v>
      </c>
      <c r="N227" s="7"/>
      <c r="O227" s="7"/>
      <c r="P227" s="7"/>
    </row>
    <row r="228" spans="1:16" hidden="1" x14ac:dyDescent="0.35">
      <c r="A228" s="151" t="str">
        <f t="shared" si="4"/>
        <v>Wen_WW_HS</v>
      </c>
      <c r="B228" s="3" t="s">
        <v>117</v>
      </c>
      <c r="C228" s="3">
        <v>1083</v>
      </c>
      <c r="D228" s="3" t="s">
        <v>172</v>
      </c>
      <c r="E228" s="3" t="s">
        <v>121</v>
      </c>
      <c r="F228" s="3" t="s">
        <v>20</v>
      </c>
      <c r="G228" s="3" t="s">
        <v>25</v>
      </c>
      <c r="H228" s="3" t="s">
        <v>22</v>
      </c>
      <c r="I228" s="3" t="s">
        <v>23</v>
      </c>
      <c r="J228" s="3">
        <v>2</v>
      </c>
      <c r="K228" s="3">
        <v>5</v>
      </c>
      <c r="L228" s="4">
        <v>44482</v>
      </c>
      <c r="M228" s="7">
        <f>C228</f>
        <v>1083</v>
      </c>
      <c r="N228" s="7"/>
      <c r="O228" s="7"/>
      <c r="P228" s="7"/>
    </row>
    <row r="229" spans="1:16" hidden="1" x14ac:dyDescent="0.35">
      <c r="A229" s="151" t="str">
        <f t="shared" si="4"/>
        <v>Wen_WS_HS</v>
      </c>
      <c r="B229" s="3" t="s">
        <v>117</v>
      </c>
      <c r="C229" s="3">
        <v>1077</v>
      </c>
      <c r="D229" s="3" t="s">
        <v>166</v>
      </c>
      <c r="E229" s="3" t="s">
        <v>121</v>
      </c>
      <c r="F229" s="3" t="s">
        <v>39</v>
      </c>
      <c r="G229" s="3" t="s">
        <v>25</v>
      </c>
      <c r="H229" s="3" t="s">
        <v>35</v>
      </c>
      <c r="I229" s="3"/>
      <c r="J229" s="3">
        <v>2</v>
      </c>
      <c r="K229" s="3">
        <v>2</v>
      </c>
      <c r="L229" s="4">
        <v>44483</v>
      </c>
      <c r="M229" s="7">
        <v>1078</v>
      </c>
      <c r="N229" s="7">
        <v>32</v>
      </c>
      <c r="O229" s="7"/>
      <c r="P229" s="7"/>
    </row>
    <row r="230" spans="1:16" hidden="1" x14ac:dyDescent="0.35">
      <c r="A230" s="151" t="str">
        <f t="shared" si="4"/>
        <v>Sto_WW_HS</v>
      </c>
      <c r="B230" s="3" t="s">
        <v>117</v>
      </c>
      <c r="C230" s="3">
        <v>1085</v>
      </c>
      <c r="D230" s="3" t="s">
        <v>173</v>
      </c>
      <c r="E230" s="3" t="s">
        <v>121</v>
      </c>
      <c r="F230" s="3" t="s">
        <v>20</v>
      </c>
      <c r="G230" s="3" t="s">
        <v>21</v>
      </c>
      <c r="H230" s="3" t="s">
        <v>26</v>
      </c>
      <c r="I230" s="3" t="s">
        <v>27</v>
      </c>
      <c r="J230" s="3">
        <v>2</v>
      </c>
      <c r="K230" s="3">
        <v>3</v>
      </c>
      <c r="L230" s="4">
        <v>44482</v>
      </c>
      <c r="M230" s="7">
        <f>C230</f>
        <v>1085</v>
      </c>
      <c r="N230" s="7"/>
      <c r="O230" s="7"/>
      <c r="P230" s="7"/>
    </row>
    <row r="231" spans="1:16" hidden="1" x14ac:dyDescent="0.35">
      <c r="A231" s="151" t="str">
        <f t="shared" si="4"/>
        <v>Sto_WW_HS</v>
      </c>
      <c r="B231" s="3" t="s">
        <v>117</v>
      </c>
      <c r="C231" s="3">
        <v>1085</v>
      </c>
      <c r="D231" s="3" t="s">
        <v>173</v>
      </c>
      <c r="E231" s="3" t="s">
        <v>121</v>
      </c>
      <c r="F231" s="3" t="s">
        <v>20</v>
      </c>
      <c r="G231" s="3" t="s">
        <v>21</v>
      </c>
      <c r="H231" s="3" t="s">
        <v>28</v>
      </c>
      <c r="I231" s="3" t="s">
        <v>27</v>
      </c>
      <c r="J231" s="3">
        <v>2</v>
      </c>
      <c r="K231" s="3">
        <v>3</v>
      </c>
      <c r="L231" s="4">
        <v>44482</v>
      </c>
      <c r="M231" s="7">
        <v>1086</v>
      </c>
      <c r="N231" s="7"/>
      <c r="O231" s="7"/>
      <c r="P231" s="7"/>
    </row>
    <row r="232" spans="1:16" hidden="1" x14ac:dyDescent="0.35">
      <c r="A232" s="151" t="str">
        <f t="shared" si="4"/>
        <v>Wen_WS_HS</v>
      </c>
      <c r="B232" s="3" t="s">
        <v>117</v>
      </c>
      <c r="C232" s="3">
        <v>1087</v>
      </c>
      <c r="D232" s="3" t="s">
        <v>174</v>
      </c>
      <c r="E232" s="3" t="s">
        <v>121</v>
      </c>
      <c r="F232" s="3" t="s">
        <v>39</v>
      </c>
      <c r="G232" s="3" t="s">
        <v>25</v>
      </c>
      <c r="H232" s="3" t="s">
        <v>22</v>
      </c>
      <c r="I232" s="3" t="s">
        <v>23</v>
      </c>
      <c r="J232" s="3">
        <v>2</v>
      </c>
      <c r="K232" s="3">
        <v>5</v>
      </c>
      <c r="L232" s="4">
        <v>44482</v>
      </c>
      <c r="M232" s="7">
        <f>C232</f>
        <v>1087</v>
      </c>
      <c r="N232" s="7"/>
      <c r="O232" s="7"/>
      <c r="P232" s="7"/>
    </row>
    <row r="233" spans="1:16" hidden="1" x14ac:dyDescent="0.35">
      <c r="A233" s="151" t="str">
        <f t="shared" si="4"/>
        <v>Sto_WW_OT</v>
      </c>
      <c r="B233" s="3" t="s">
        <v>17</v>
      </c>
      <c r="C233" s="3">
        <v>5</v>
      </c>
      <c r="D233" s="3" t="s">
        <v>29</v>
      </c>
      <c r="E233" s="3" t="s">
        <v>19</v>
      </c>
      <c r="F233" s="3" t="s">
        <v>20</v>
      </c>
      <c r="G233" s="3" t="s">
        <v>21</v>
      </c>
      <c r="H233" s="3" t="s">
        <v>35</v>
      </c>
      <c r="I233" s="3"/>
      <c r="J233" s="3">
        <v>2</v>
      </c>
      <c r="K233" s="3">
        <v>1</v>
      </c>
      <c r="L233" s="4">
        <v>44483</v>
      </c>
      <c r="M233" s="7">
        <f>C233</f>
        <v>5</v>
      </c>
      <c r="N233" s="7"/>
      <c r="O233" s="7"/>
      <c r="P233" s="7"/>
    </row>
    <row r="234" spans="1:16" hidden="1" x14ac:dyDescent="0.35">
      <c r="A234" s="151" t="str">
        <f t="shared" si="4"/>
        <v>Wen_WW_HS</v>
      </c>
      <c r="B234" s="3" t="s">
        <v>117</v>
      </c>
      <c r="C234" s="3">
        <v>1089</v>
      </c>
      <c r="D234" s="3" t="s">
        <v>175</v>
      </c>
      <c r="E234" s="3" t="s">
        <v>121</v>
      </c>
      <c r="F234" s="3" t="s">
        <v>20</v>
      </c>
      <c r="G234" s="3" t="s">
        <v>25</v>
      </c>
      <c r="H234" s="3" t="s">
        <v>26</v>
      </c>
      <c r="I234" s="3" t="s">
        <v>27</v>
      </c>
      <c r="J234" s="3">
        <v>2</v>
      </c>
      <c r="K234" s="3">
        <v>3</v>
      </c>
      <c r="L234" s="4">
        <v>44482</v>
      </c>
      <c r="M234" s="7">
        <f>C234</f>
        <v>1089</v>
      </c>
      <c r="N234" s="7"/>
      <c r="O234" s="7"/>
      <c r="P234" s="7"/>
    </row>
    <row r="235" spans="1:16" hidden="1" x14ac:dyDescent="0.35">
      <c r="A235" s="151" t="str">
        <f t="shared" si="4"/>
        <v>Wen_WW_HS</v>
      </c>
      <c r="B235" s="3" t="s">
        <v>117</v>
      </c>
      <c r="C235" s="3">
        <v>1089</v>
      </c>
      <c r="D235" s="3" t="s">
        <v>175</v>
      </c>
      <c r="E235" s="3" t="s">
        <v>121</v>
      </c>
      <c r="F235" s="3" t="s">
        <v>20</v>
      </c>
      <c r="G235" s="3" t="s">
        <v>25</v>
      </c>
      <c r="H235" s="3" t="s">
        <v>28</v>
      </c>
      <c r="I235" s="3" t="s">
        <v>27</v>
      </c>
      <c r="J235" s="3">
        <v>2</v>
      </c>
      <c r="K235" s="3">
        <v>3</v>
      </c>
      <c r="L235" s="4">
        <v>44482</v>
      </c>
      <c r="M235" s="7">
        <v>1090</v>
      </c>
      <c r="N235" s="7"/>
      <c r="O235" s="7"/>
      <c r="P235" s="7"/>
    </row>
    <row r="236" spans="1:16" hidden="1" x14ac:dyDescent="0.35">
      <c r="A236" s="151" t="str">
        <f t="shared" si="4"/>
        <v>Sto_WS_HS</v>
      </c>
      <c r="B236" s="3" t="s">
        <v>117</v>
      </c>
      <c r="C236" s="3">
        <v>1091</v>
      </c>
      <c r="D236" s="3" t="s">
        <v>176</v>
      </c>
      <c r="E236" s="3" t="s">
        <v>121</v>
      </c>
      <c r="F236" s="3" t="s">
        <v>39</v>
      </c>
      <c r="G236" s="3" t="s">
        <v>21</v>
      </c>
      <c r="H236" s="3" t="s">
        <v>22</v>
      </c>
      <c r="I236" s="3" t="s">
        <v>23</v>
      </c>
      <c r="J236" s="3">
        <v>2</v>
      </c>
      <c r="K236" s="3">
        <v>6</v>
      </c>
      <c r="L236" s="4">
        <v>44482</v>
      </c>
      <c r="M236" s="7">
        <f>C236</f>
        <v>1091</v>
      </c>
      <c r="N236" s="7"/>
      <c r="O236" s="7"/>
      <c r="P236" s="7"/>
    </row>
    <row r="237" spans="1:16" hidden="1" x14ac:dyDescent="0.35">
      <c r="A237" s="151" t="str">
        <f t="shared" si="4"/>
        <v>Sto_WS_OT</v>
      </c>
      <c r="B237" s="3" t="s">
        <v>17</v>
      </c>
      <c r="C237" s="3">
        <v>45</v>
      </c>
      <c r="D237" s="3" t="s">
        <v>53</v>
      </c>
      <c r="E237" s="3" t="s">
        <v>19</v>
      </c>
      <c r="F237" s="3" t="s">
        <v>39</v>
      </c>
      <c r="G237" s="3" t="s">
        <v>21</v>
      </c>
      <c r="H237" s="3" t="s">
        <v>35</v>
      </c>
      <c r="I237" s="3"/>
      <c r="J237" s="3">
        <v>2</v>
      </c>
      <c r="K237" s="3">
        <v>1</v>
      </c>
      <c r="L237" s="4">
        <v>44483</v>
      </c>
      <c r="M237" s="7">
        <v>46</v>
      </c>
      <c r="N237" s="7"/>
      <c r="O237" s="7"/>
      <c r="P237" s="7"/>
    </row>
    <row r="238" spans="1:16" hidden="1" x14ac:dyDescent="0.35">
      <c r="A238" s="151" t="str">
        <f t="shared" si="4"/>
        <v>Sto_WW_HS</v>
      </c>
      <c r="B238" s="3" t="s">
        <v>117</v>
      </c>
      <c r="C238" s="3">
        <v>1093</v>
      </c>
      <c r="D238" s="3" t="s">
        <v>177</v>
      </c>
      <c r="E238" s="3" t="s">
        <v>121</v>
      </c>
      <c r="F238" s="3" t="s">
        <v>20</v>
      </c>
      <c r="G238" s="3" t="s">
        <v>21</v>
      </c>
      <c r="H238" s="3" t="s">
        <v>22</v>
      </c>
      <c r="I238" s="3" t="s">
        <v>23</v>
      </c>
      <c r="J238" s="3">
        <v>2</v>
      </c>
      <c r="K238" s="3">
        <v>6</v>
      </c>
      <c r="L238" s="4">
        <v>44482</v>
      </c>
      <c r="M238" s="7">
        <f>C238</f>
        <v>1093</v>
      </c>
      <c r="N238" s="7"/>
      <c r="O238" s="7"/>
      <c r="P238" s="7"/>
    </row>
    <row r="239" spans="1:16" hidden="1" x14ac:dyDescent="0.35">
      <c r="A239" s="151" t="str">
        <f t="shared" si="4"/>
        <v>Sto_WS_OT</v>
      </c>
      <c r="B239" s="3" t="s">
        <v>17</v>
      </c>
      <c r="C239" s="3">
        <v>57</v>
      </c>
      <c r="D239" s="3" t="s">
        <v>62</v>
      </c>
      <c r="E239" s="3" t="s">
        <v>19</v>
      </c>
      <c r="F239" s="3" t="s">
        <v>39</v>
      </c>
      <c r="G239" s="3" t="s">
        <v>21</v>
      </c>
      <c r="H239" s="3" t="s">
        <v>35</v>
      </c>
      <c r="I239" s="3" t="s">
        <v>59</v>
      </c>
      <c r="J239" s="3">
        <v>2</v>
      </c>
      <c r="K239" s="3"/>
      <c r="L239" s="4">
        <v>44483</v>
      </c>
      <c r="M239" s="7">
        <f>C239</f>
        <v>57</v>
      </c>
      <c r="N239" s="7"/>
      <c r="O239" s="7"/>
      <c r="P239" s="7"/>
    </row>
    <row r="240" spans="1:16" hidden="1" x14ac:dyDescent="0.35">
      <c r="A240" s="151" t="str">
        <f t="shared" si="4"/>
        <v>Wen_WS_HS</v>
      </c>
      <c r="B240" s="3" t="s">
        <v>117</v>
      </c>
      <c r="C240" s="3">
        <v>1095</v>
      </c>
      <c r="D240" s="3" t="s">
        <v>178</v>
      </c>
      <c r="E240" s="3" t="s">
        <v>121</v>
      </c>
      <c r="F240" s="3" t="s">
        <v>39</v>
      </c>
      <c r="G240" s="3" t="s">
        <v>25</v>
      </c>
      <c r="H240" s="3" t="s">
        <v>26</v>
      </c>
      <c r="I240" s="3" t="s">
        <v>27</v>
      </c>
      <c r="J240" s="3">
        <v>2</v>
      </c>
      <c r="K240" s="3">
        <v>3</v>
      </c>
      <c r="L240" s="4">
        <v>44482</v>
      </c>
      <c r="M240" s="7">
        <f>C240</f>
        <v>1095</v>
      </c>
      <c r="N240" s="7"/>
      <c r="O240" s="7"/>
      <c r="P240" s="7"/>
    </row>
    <row r="241" spans="1:16" hidden="1" x14ac:dyDescent="0.35">
      <c r="A241" s="151" t="str">
        <f t="shared" si="4"/>
        <v>Wen_WS_HS</v>
      </c>
      <c r="B241" s="3" t="s">
        <v>117</v>
      </c>
      <c r="C241" s="3">
        <v>1095</v>
      </c>
      <c r="D241" s="3" t="s">
        <v>178</v>
      </c>
      <c r="E241" s="3" t="s">
        <v>121</v>
      </c>
      <c r="F241" s="3" t="s">
        <v>39</v>
      </c>
      <c r="G241" s="3" t="s">
        <v>25</v>
      </c>
      <c r="H241" s="3" t="s">
        <v>28</v>
      </c>
      <c r="I241" s="3" t="s">
        <v>27</v>
      </c>
      <c r="J241" s="3">
        <v>2</v>
      </c>
      <c r="K241" s="3">
        <v>3</v>
      </c>
      <c r="L241" s="4">
        <v>44482</v>
      </c>
      <c r="M241" s="7">
        <v>1096</v>
      </c>
      <c r="N241" s="7"/>
      <c r="O241" s="7"/>
      <c r="P241" s="7"/>
    </row>
    <row r="242" spans="1:16" hidden="1" x14ac:dyDescent="0.35">
      <c r="A242" s="151" t="str">
        <f t="shared" si="4"/>
        <v>Wen_WW_HS</v>
      </c>
      <c r="B242" s="3" t="s">
        <v>117</v>
      </c>
      <c r="C242" s="3">
        <v>1097</v>
      </c>
      <c r="D242" s="3" t="s">
        <v>179</v>
      </c>
      <c r="E242" s="3" t="s">
        <v>121</v>
      </c>
      <c r="F242" s="3" t="s">
        <v>20</v>
      </c>
      <c r="G242" s="3" t="s">
        <v>25</v>
      </c>
      <c r="H242" s="3" t="s">
        <v>22</v>
      </c>
      <c r="I242" s="3" t="s">
        <v>23</v>
      </c>
      <c r="J242" s="3">
        <v>2</v>
      </c>
      <c r="K242" s="3">
        <v>6</v>
      </c>
      <c r="L242" s="4">
        <v>44483</v>
      </c>
      <c r="M242" s="7">
        <f>C242</f>
        <v>1097</v>
      </c>
      <c r="N242" s="7"/>
      <c r="O242" s="7"/>
      <c r="P242" s="7"/>
    </row>
    <row r="243" spans="1:16" hidden="1" x14ac:dyDescent="0.35">
      <c r="A243" s="151" t="str">
        <f t="shared" si="4"/>
        <v>Sto_WS_OT</v>
      </c>
      <c r="B243" s="3" t="s">
        <v>17</v>
      </c>
      <c r="C243" s="3">
        <v>57</v>
      </c>
      <c r="D243" s="3" t="s">
        <v>62</v>
      </c>
      <c r="E243" s="3" t="s">
        <v>19</v>
      </c>
      <c r="F243" s="3" t="s">
        <v>39</v>
      </c>
      <c r="G243" s="3" t="s">
        <v>21</v>
      </c>
      <c r="H243" s="3" t="s">
        <v>35</v>
      </c>
      <c r="I243" s="3" t="s">
        <v>59</v>
      </c>
      <c r="J243" s="3">
        <v>2</v>
      </c>
      <c r="K243" s="3"/>
      <c r="L243" s="4">
        <v>44483</v>
      </c>
      <c r="M243" s="7">
        <v>58</v>
      </c>
      <c r="N243" s="7"/>
      <c r="O243" s="7"/>
      <c r="P243" s="7"/>
    </row>
    <row r="244" spans="1:16" hidden="1" x14ac:dyDescent="0.35">
      <c r="A244" s="151" t="str">
        <f t="shared" si="4"/>
        <v>Wen_WS_HS</v>
      </c>
      <c r="B244" s="3" t="s">
        <v>117</v>
      </c>
      <c r="C244" s="3">
        <v>1099</v>
      </c>
      <c r="D244" s="3" t="s">
        <v>180</v>
      </c>
      <c r="E244" s="3" t="s">
        <v>121</v>
      </c>
      <c r="F244" s="3" t="s">
        <v>39</v>
      </c>
      <c r="G244" s="3" t="s">
        <v>25</v>
      </c>
      <c r="H244" s="3" t="s">
        <v>22</v>
      </c>
      <c r="I244" s="3" t="s">
        <v>23</v>
      </c>
      <c r="J244" s="3">
        <v>2</v>
      </c>
      <c r="K244" s="3">
        <v>6</v>
      </c>
      <c r="L244" s="4">
        <v>44482</v>
      </c>
      <c r="M244" s="7">
        <f>C244</f>
        <v>1099</v>
      </c>
      <c r="N244" s="7"/>
      <c r="O244" s="7"/>
      <c r="P244" s="7"/>
    </row>
    <row r="245" spans="1:16" x14ac:dyDescent="0.35">
      <c r="A245" s="151" t="str">
        <f t="shared" si="4"/>
        <v>Wen_WW_OT</v>
      </c>
      <c r="B245" s="3" t="s">
        <v>17</v>
      </c>
      <c r="C245" s="3">
        <v>63</v>
      </c>
      <c r="D245" s="3" t="s">
        <v>66</v>
      </c>
      <c r="E245" s="3" t="s">
        <v>19</v>
      </c>
      <c r="F245" s="3" t="s">
        <v>20</v>
      </c>
      <c r="G245" s="3" t="s">
        <v>25</v>
      </c>
      <c r="H245" s="3" t="s">
        <v>35</v>
      </c>
      <c r="I245" s="3" t="s">
        <v>27</v>
      </c>
      <c r="J245" s="3">
        <v>2</v>
      </c>
      <c r="K245" s="3">
        <v>2</v>
      </c>
      <c r="L245" s="4">
        <v>44483</v>
      </c>
      <c r="M245" s="7">
        <f>C245</f>
        <v>63</v>
      </c>
      <c r="N245" s="7"/>
      <c r="O245" s="7"/>
      <c r="P245" s="7"/>
    </row>
    <row r="246" spans="1:16" hidden="1" x14ac:dyDescent="0.35">
      <c r="A246" s="151" t="str">
        <f t="shared" si="4"/>
        <v>Sto_WW_HS</v>
      </c>
      <c r="B246" s="3" t="s">
        <v>117</v>
      </c>
      <c r="C246" s="3">
        <v>1101</v>
      </c>
      <c r="D246" s="3" t="s">
        <v>181</v>
      </c>
      <c r="E246" s="3" t="s">
        <v>121</v>
      </c>
      <c r="F246" s="3" t="s">
        <v>20</v>
      </c>
      <c r="G246" s="3" t="s">
        <v>21</v>
      </c>
      <c r="H246" s="3" t="s">
        <v>26</v>
      </c>
      <c r="I246" s="3" t="s">
        <v>27</v>
      </c>
      <c r="J246" s="3">
        <v>2</v>
      </c>
      <c r="K246" s="3"/>
      <c r="L246" s="4">
        <v>44482</v>
      </c>
      <c r="M246" s="7">
        <f>C246</f>
        <v>1101</v>
      </c>
      <c r="N246" s="7"/>
      <c r="O246" s="7"/>
      <c r="P246" s="7"/>
    </row>
    <row r="247" spans="1:16" hidden="1" x14ac:dyDescent="0.35">
      <c r="A247" s="151" t="str">
        <f t="shared" si="4"/>
        <v>Sto_WW_HS</v>
      </c>
      <c r="B247" s="3" t="s">
        <v>117</v>
      </c>
      <c r="C247" s="3">
        <v>1101</v>
      </c>
      <c r="D247" s="3" t="s">
        <v>181</v>
      </c>
      <c r="E247" s="3" t="s">
        <v>121</v>
      </c>
      <c r="F247" s="3" t="s">
        <v>20</v>
      </c>
      <c r="G247" s="3" t="s">
        <v>21</v>
      </c>
      <c r="H247" s="3" t="s">
        <v>28</v>
      </c>
      <c r="I247" s="3" t="s">
        <v>27</v>
      </c>
      <c r="J247" s="3">
        <v>2</v>
      </c>
      <c r="K247" s="3"/>
      <c r="L247" s="4">
        <v>44482</v>
      </c>
      <c r="M247" s="7">
        <v>1102</v>
      </c>
      <c r="N247" s="7"/>
      <c r="O247" s="7"/>
      <c r="P247" s="7"/>
    </row>
    <row r="248" spans="1:16" hidden="1" x14ac:dyDescent="0.35">
      <c r="A248" s="151" t="str">
        <f t="shared" si="4"/>
        <v>Wen_WS_HS</v>
      </c>
      <c r="B248" s="3" t="s">
        <v>117</v>
      </c>
      <c r="C248" s="3">
        <v>1103</v>
      </c>
      <c r="D248" s="3" t="s">
        <v>182</v>
      </c>
      <c r="E248" s="3" t="s">
        <v>121</v>
      </c>
      <c r="F248" s="3" t="s">
        <v>39</v>
      </c>
      <c r="G248" s="3" t="s">
        <v>25</v>
      </c>
      <c r="H248" s="3" t="s">
        <v>22</v>
      </c>
      <c r="I248" s="3" t="s">
        <v>23</v>
      </c>
      <c r="J248" s="3">
        <v>2</v>
      </c>
      <c r="K248" s="3">
        <v>7</v>
      </c>
      <c r="L248" s="4">
        <v>44483</v>
      </c>
      <c r="M248" s="7">
        <f>C248</f>
        <v>1103</v>
      </c>
      <c r="N248" s="7"/>
      <c r="O248" s="7"/>
      <c r="P248" s="7"/>
    </row>
    <row r="249" spans="1:16" x14ac:dyDescent="0.35">
      <c r="A249" s="151" t="str">
        <f t="shared" si="4"/>
        <v>Wen_WW_OT</v>
      </c>
      <c r="B249" s="3" t="s">
        <v>17</v>
      </c>
      <c r="C249" s="3">
        <v>67</v>
      </c>
      <c r="D249" s="3" t="s">
        <v>72</v>
      </c>
      <c r="E249" s="3" t="s">
        <v>19</v>
      </c>
      <c r="F249" s="3" t="s">
        <v>20</v>
      </c>
      <c r="G249" s="3" t="s">
        <v>25</v>
      </c>
      <c r="H249" s="3" t="s">
        <v>35</v>
      </c>
      <c r="I249" s="3" t="s">
        <v>23</v>
      </c>
      <c r="J249" s="3">
        <v>2</v>
      </c>
      <c r="K249" s="3">
        <v>4</v>
      </c>
      <c r="L249" s="4">
        <v>44482</v>
      </c>
      <c r="M249" s="7">
        <v>68</v>
      </c>
      <c r="N249" s="7"/>
      <c r="O249" s="7"/>
      <c r="P249" s="7"/>
    </row>
    <row r="250" spans="1:16" hidden="1" x14ac:dyDescent="0.35">
      <c r="A250" s="151" t="str">
        <f t="shared" si="4"/>
        <v>Sto_WS_HS</v>
      </c>
      <c r="B250" s="3" t="s">
        <v>117</v>
      </c>
      <c r="C250" s="3">
        <v>1105</v>
      </c>
      <c r="D250" s="3" t="s">
        <v>183</v>
      </c>
      <c r="E250" s="3" t="s">
        <v>121</v>
      </c>
      <c r="F250" s="3" t="s">
        <v>39</v>
      </c>
      <c r="G250" s="3" t="s">
        <v>21</v>
      </c>
      <c r="H250" s="3" t="s">
        <v>22</v>
      </c>
      <c r="I250" s="3" t="s">
        <v>23</v>
      </c>
      <c r="J250" s="3">
        <v>2</v>
      </c>
      <c r="K250" s="3">
        <v>7</v>
      </c>
      <c r="L250" s="4">
        <v>44483</v>
      </c>
      <c r="M250" s="7">
        <f>C250</f>
        <v>1105</v>
      </c>
      <c r="N250" s="7"/>
      <c r="O250" s="7"/>
      <c r="P250" s="7"/>
    </row>
    <row r="251" spans="1:16" hidden="1" x14ac:dyDescent="0.35">
      <c r="A251" s="151" t="str">
        <f t="shared" si="4"/>
        <v>Sto_WW_OT</v>
      </c>
      <c r="B251" s="3" t="s">
        <v>17</v>
      </c>
      <c r="C251" s="3">
        <v>79</v>
      </c>
      <c r="D251" s="3" t="s">
        <v>78</v>
      </c>
      <c r="E251" s="3" t="s">
        <v>19</v>
      </c>
      <c r="F251" s="3" t="s">
        <v>20</v>
      </c>
      <c r="G251" s="3" t="s">
        <v>21</v>
      </c>
      <c r="H251" s="3" t="s">
        <v>35</v>
      </c>
      <c r="I251" s="3" t="s">
        <v>23</v>
      </c>
      <c r="J251" s="3">
        <v>2</v>
      </c>
      <c r="K251" s="3">
        <v>5</v>
      </c>
      <c r="L251" s="4">
        <v>44482</v>
      </c>
      <c r="M251" s="7">
        <v>80</v>
      </c>
      <c r="N251" s="7"/>
      <c r="O251" s="7"/>
      <c r="P251" s="7"/>
    </row>
    <row r="252" spans="1:16" hidden="1" x14ac:dyDescent="0.35">
      <c r="A252" s="151" t="str">
        <f t="shared" si="4"/>
        <v>Sto_WS_HS</v>
      </c>
      <c r="B252" s="3" t="s">
        <v>117</v>
      </c>
      <c r="C252" s="3">
        <v>1107</v>
      </c>
      <c r="D252" s="3" t="s">
        <v>184</v>
      </c>
      <c r="E252" s="3" t="s">
        <v>121</v>
      </c>
      <c r="F252" s="3" t="s">
        <v>39</v>
      </c>
      <c r="G252" s="3" t="s">
        <v>21</v>
      </c>
      <c r="H252" s="3" t="s">
        <v>28</v>
      </c>
      <c r="I252" s="3" t="s">
        <v>27</v>
      </c>
      <c r="J252" s="3">
        <v>2</v>
      </c>
      <c r="K252" s="3">
        <v>4</v>
      </c>
      <c r="L252" s="4">
        <v>44483</v>
      </c>
      <c r="M252" s="7">
        <f>C252</f>
        <v>1107</v>
      </c>
      <c r="N252" s="7"/>
      <c r="O252" s="7"/>
      <c r="P252" s="7"/>
    </row>
    <row r="253" spans="1:16" hidden="1" x14ac:dyDescent="0.35">
      <c r="A253" s="151" t="str">
        <f t="shared" si="4"/>
        <v>Sto_WS_HS</v>
      </c>
      <c r="B253" s="3" t="s">
        <v>117</v>
      </c>
      <c r="C253" s="3">
        <v>1107</v>
      </c>
      <c r="D253" s="3" t="s">
        <v>184</v>
      </c>
      <c r="E253" s="3" t="s">
        <v>121</v>
      </c>
      <c r="F253" s="3" t="s">
        <v>39</v>
      </c>
      <c r="G253" s="3" t="s">
        <v>21</v>
      </c>
      <c r="H253" s="3" t="s">
        <v>28</v>
      </c>
      <c r="I253" s="3" t="s">
        <v>27</v>
      </c>
      <c r="J253" s="3">
        <v>2</v>
      </c>
      <c r="K253" s="3">
        <v>4</v>
      </c>
      <c r="L253" s="4">
        <v>44483</v>
      </c>
      <c r="M253" s="7">
        <v>1108</v>
      </c>
      <c r="N253" s="7"/>
      <c r="O253" s="7"/>
      <c r="P253" s="7"/>
    </row>
    <row r="254" spans="1:16" hidden="1" x14ac:dyDescent="0.35">
      <c r="A254" s="151" t="str">
        <f t="shared" si="4"/>
        <v>Sto_WW_HS</v>
      </c>
      <c r="B254" s="3" t="s">
        <v>117</v>
      </c>
      <c r="C254" s="3">
        <v>1109</v>
      </c>
      <c r="D254" s="3" t="s">
        <v>187</v>
      </c>
      <c r="E254" s="3" t="s">
        <v>121</v>
      </c>
      <c r="F254" s="3" t="s">
        <v>20</v>
      </c>
      <c r="G254" s="3" t="s">
        <v>21</v>
      </c>
      <c r="H254" s="3" t="s">
        <v>22</v>
      </c>
      <c r="I254" s="3" t="s">
        <v>23</v>
      </c>
      <c r="J254" s="3">
        <v>2</v>
      </c>
      <c r="K254" s="3">
        <v>7</v>
      </c>
      <c r="L254" s="4">
        <v>44483</v>
      </c>
      <c r="M254" s="7">
        <f>C254</f>
        <v>1109</v>
      </c>
      <c r="N254" s="7"/>
      <c r="O254" s="7"/>
      <c r="P254" s="7"/>
    </row>
    <row r="255" spans="1:16" x14ac:dyDescent="0.35">
      <c r="A255" s="151" t="str">
        <f t="shared" si="4"/>
        <v>Wen_WW_OT</v>
      </c>
      <c r="B255" s="3" t="s">
        <v>17</v>
      </c>
      <c r="C255" s="3">
        <v>97</v>
      </c>
      <c r="D255" s="3" t="s">
        <v>87</v>
      </c>
      <c r="E255" s="3" t="s">
        <v>19</v>
      </c>
      <c r="F255" s="3" t="s">
        <v>20</v>
      </c>
      <c r="G255" s="3" t="s">
        <v>25</v>
      </c>
      <c r="H255" s="3" t="s">
        <v>35</v>
      </c>
      <c r="I255" s="3" t="s">
        <v>23</v>
      </c>
      <c r="J255" s="3">
        <v>2</v>
      </c>
      <c r="K255" s="3">
        <v>6</v>
      </c>
      <c r="L255" s="4">
        <v>44483</v>
      </c>
      <c r="M255" s="7">
        <v>98</v>
      </c>
      <c r="N255" s="7"/>
      <c r="O255" s="7"/>
      <c r="P255" s="7"/>
    </row>
    <row r="256" spans="1:16" hidden="1" x14ac:dyDescent="0.35">
      <c r="A256" s="151" t="str">
        <f t="shared" si="4"/>
        <v>Wen_WW_HS</v>
      </c>
      <c r="B256" s="3" t="s">
        <v>117</v>
      </c>
      <c r="C256" s="3">
        <v>1111</v>
      </c>
      <c r="D256" s="3" t="s">
        <v>188</v>
      </c>
      <c r="E256" s="3" t="s">
        <v>121</v>
      </c>
      <c r="F256" s="3" t="s">
        <v>20</v>
      </c>
      <c r="G256" s="3" t="s">
        <v>25</v>
      </c>
      <c r="H256" s="3" t="s">
        <v>22</v>
      </c>
      <c r="I256" s="3" t="s">
        <v>23</v>
      </c>
      <c r="J256" s="3">
        <v>2</v>
      </c>
      <c r="K256" s="3">
        <v>7</v>
      </c>
      <c r="L256" s="4">
        <v>44483</v>
      </c>
      <c r="M256" s="7">
        <f>C256</f>
        <v>1111</v>
      </c>
      <c r="N256" s="7"/>
      <c r="O256" s="7"/>
      <c r="P256" s="7"/>
    </row>
    <row r="257" spans="1:16" hidden="1" x14ac:dyDescent="0.35">
      <c r="A257" s="151" t="str">
        <f t="shared" si="4"/>
        <v>Sto_WW_OT</v>
      </c>
      <c r="B257" s="3" t="s">
        <v>17</v>
      </c>
      <c r="C257" s="3">
        <v>133</v>
      </c>
      <c r="D257" s="3" t="s">
        <v>109</v>
      </c>
      <c r="E257" s="3" t="s">
        <v>19</v>
      </c>
      <c r="F257" s="3" t="s">
        <v>20</v>
      </c>
      <c r="G257" s="3" t="s">
        <v>21</v>
      </c>
      <c r="H257" s="3" t="s">
        <v>35</v>
      </c>
      <c r="I257" s="3"/>
      <c r="J257" s="3">
        <v>2</v>
      </c>
      <c r="K257" s="3">
        <v>5</v>
      </c>
      <c r="L257" s="4">
        <v>44483</v>
      </c>
      <c r="M257" s="7">
        <f>C257</f>
        <v>133</v>
      </c>
      <c r="N257" s="7"/>
      <c r="O257" s="7"/>
      <c r="P257" s="7"/>
    </row>
    <row r="258" spans="1:16" hidden="1" x14ac:dyDescent="0.35">
      <c r="A258" s="151" t="str">
        <f t="shared" si="4"/>
        <v>Wen_WS_HS</v>
      </c>
      <c r="B258" s="3" t="s">
        <v>117</v>
      </c>
      <c r="C258" s="3">
        <v>1113</v>
      </c>
      <c r="D258" s="3" t="s">
        <v>189</v>
      </c>
      <c r="E258" s="3" t="s">
        <v>121</v>
      </c>
      <c r="F258" s="3" t="s">
        <v>39</v>
      </c>
      <c r="G258" s="3" t="s">
        <v>25</v>
      </c>
      <c r="H258" s="3" t="s">
        <v>26</v>
      </c>
      <c r="I258" s="3" t="s">
        <v>27</v>
      </c>
      <c r="J258" s="3">
        <v>2</v>
      </c>
      <c r="K258" s="3">
        <v>4</v>
      </c>
      <c r="L258" s="4">
        <v>44482</v>
      </c>
      <c r="M258" s="7">
        <f>C258</f>
        <v>1113</v>
      </c>
      <c r="N258" s="7"/>
      <c r="O258" s="7"/>
      <c r="P258" s="7"/>
    </row>
    <row r="259" spans="1:16" hidden="1" x14ac:dyDescent="0.35">
      <c r="A259" s="151" t="str">
        <f t="shared" si="4"/>
        <v>Wen_WS_HS</v>
      </c>
      <c r="B259" s="3" t="s">
        <v>117</v>
      </c>
      <c r="C259" s="3">
        <v>1113</v>
      </c>
      <c r="D259" s="3" t="s">
        <v>189</v>
      </c>
      <c r="E259" s="3" t="s">
        <v>121</v>
      </c>
      <c r="F259" s="3" t="s">
        <v>39</v>
      </c>
      <c r="G259" s="3" t="s">
        <v>25</v>
      </c>
      <c r="H259" s="3" t="s">
        <v>28</v>
      </c>
      <c r="I259" s="3" t="s">
        <v>27</v>
      </c>
      <c r="J259" s="3">
        <v>2</v>
      </c>
      <c r="K259" s="3">
        <v>4</v>
      </c>
      <c r="L259" s="4">
        <v>44482</v>
      </c>
      <c r="M259" s="7">
        <v>1114</v>
      </c>
      <c r="N259" s="7"/>
      <c r="O259" s="7"/>
      <c r="P259" s="7"/>
    </row>
    <row r="260" spans="1:16" hidden="1" x14ac:dyDescent="0.35">
      <c r="A260" s="151" t="str">
        <f t="shared" si="4"/>
        <v>Wen_WS_HS</v>
      </c>
      <c r="B260" s="3" t="s">
        <v>117</v>
      </c>
      <c r="C260" s="3">
        <v>1115</v>
      </c>
      <c r="D260" s="3" t="s">
        <v>190</v>
      </c>
      <c r="E260" s="3" t="s">
        <v>121</v>
      </c>
      <c r="F260" s="3" t="s">
        <v>39</v>
      </c>
      <c r="G260" s="3" t="s">
        <v>25</v>
      </c>
      <c r="H260" s="3" t="s">
        <v>22</v>
      </c>
      <c r="I260" s="3" t="s">
        <v>23</v>
      </c>
      <c r="J260" s="3">
        <v>2</v>
      </c>
      <c r="K260" s="3">
        <v>8</v>
      </c>
      <c r="L260" s="4">
        <v>44483</v>
      </c>
      <c r="M260" s="7">
        <f>C260</f>
        <v>1115</v>
      </c>
      <c r="N260" s="7"/>
      <c r="O260" s="7"/>
      <c r="P260" s="7"/>
    </row>
    <row r="261" spans="1:16" hidden="1" x14ac:dyDescent="0.35">
      <c r="A261" s="151" t="str">
        <f t="shared" si="4"/>
        <v>Wen_WS_HS</v>
      </c>
      <c r="B261" s="3" t="s">
        <v>117</v>
      </c>
      <c r="C261" s="3">
        <v>1115</v>
      </c>
      <c r="D261" s="3" t="s">
        <v>190</v>
      </c>
      <c r="E261" s="3" t="s">
        <v>121</v>
      </c>
      <c r="F261" s="3" t="s">
        <v>39</v>
      </c>
      <c r="G261" s="3" t="s">
        <v>25</v>
      </c>
      <c r="H261" s="3"/>
      <c r="I261" s="3"/>
      <c r="J261" s="3"/>
      <c r="K261" s="3"/>
      <c r="L261" s="4">
        <v>44483</v>
      </c>
      <c r="M261" s="7">
        <v>1116</v>
      </c>
      <c r="N261" s="7"/>
      <c r="O261" s="7"/>
      <c r="P261" s="7"/>
    </row>
    <row r="262" spans="1:16" hidden="1" x14ac:dyDescent="0.35">
      <c r="A262" s="151" t="str">
        <f t="shared" ref="A262:A284" si="5">LEFT(G262,3)&amp;"_"&amp;F262&amp;"_"&amp;E262</f>
        <v>Wen_WW_HS</v>
      </c>
      <c r="B262" s="3" t="s">
        <v>117</v>
      </c>
      <c r="C262" s="3">
        <v>1117</v>
      </c>
      <c r="D262" s="3" t="s">
        <v>191</v>
      </c>
      <c r="E262" s="3" t="s">
        <v>121</v>
      </c>
      <c r="F262" s="3" t="s">
        <v>20</v>
      </c>
      <c r="G262" s="3" t="s">
        <v>25</v>
      </c>
      <c r="H262" s="3" t="s">
        <v>26</v>
      </c>
      <c r="I262" s="3" t="s">
        <v>27</v>
      </c>
      <c r="J262" s="3">
        <v>2</v>
      </c>
      <c r="K262" s="3">
        <v>4</v>
      </c>
      <c r="L262" s="4">
        <v>44482</v>
      </c>
      <c r="M262" s="7">
        <f>C262</f>
        <v>1117</v>
      </c>
      <c r="N262" s="7"/>
      <c r="O262" s="7"/>
      <c r="P262" s="7"/>
    </row>
    <row r="263" spans="1:16" hidden="1" x14ac:dyDescent="0.35">
      <c r="A263" s="151" t="str">
        <f t="shared" si="5"/>
        <v>Wen_WW_HS</v>
      </c>
      <c r="B263" s="3" t="s">
        <v>117</v>
      </c>
      <c r="C263" s="3">
        <v>1117</v>
      </c>
      <c r="D263" s="3" t="s">
        <v>191</v>
      </c>
      <c r="E263" s="3" t="s">
        <v>121</v>
      </c>
      <c r="F263" s="3" t="s">
        <v>20</v>
      </c>
      <c r="G263" s="3" t="s">
        <v>25</v>
      </c>
      <c r="H263" s="3" t="s">
        <v>28</v>
      </c>
      <c r="I263" s="3" t="s">
        <v>27</v>
      </c>
      <c r="J263" s="3">
        <v>2</v>
      </c>
      <c r="K263" s="3">
        <v>4</v>
      </c>
      <c r="L263" s="4">
        <v>44482</v>
      </c>
      <c r="M263" s="7">
        <v>1118</v>
      </c>
      <c r="N263" s="7"/>
      <c r="O263" s="7"/>
      <c r="P263" s="7"/>
    </row>
    <row r="264" spans="1:16" hidden="1" x14ac:dyDescent="0.35">
      <c r="A264" s="151" t="str">
        <f t="shared" si="5"/>
        <v>Sto_WS_HS</v>
      </c>
      <c r="B264" s="3" t="s">
        <v>117</v>
      </c>
      <c r="C264" s="3">
        <v>1119</v>
      </c>
      <c r="D264" s="3" t="s">
        <v>192</v>
      </c>
      <c r="E264" s="3" t="s">
        <v>121</v>
      </c>
      <c r="F264" s="3" t="s">
        <v>39</v>
      </c>
      <c r="G264" s="3" t="s">
        <v>21</v>
      </c>
      <c r="H264" s="3" t="s">
        <v>22</v>
      </c>
      <c r="I264" s="3" t="s">
        <v>23</v>
      </c>
      <c r="J264" s="3">
        <v>2</v>
      </c>
      <c r="K264" s="3">
        <v>8</v>
      </c>
      <c r="L264" s="4">
        <v>44483</v>
      </c>
      <c r="M264" s="7">
        <f>C264</f>
        <v>1119</v>
      </c>
      <c r="N264" s="7"/>
      <c r="O264" s="7"/>
      <c r="P264" s="7"/>
    </row>
    <row r="265" spans="1:16" hidden="1" x14ac:dyDescent="0.35">
      <c r="A265" s="151" t="str">
        <f t="shared" si="5"/>
        <v>Sto_WS_HS</v>
      </c>
      <c r="B265" s="3" t="s">
        <v>117</v>
      </c>
      <c r="C265" s="3">
        <v>1041</v>
      </c>
      <c r="D265" s="3" t="s">
        <v>144</v>
      </c>
      <c r="E265" s="3" t="s">
        <v>121</v>
      </c>
      <c r="F265" s="3" t="s">
        <v>39</v>
      </c>
      <c r="G265" s="3" t="s">
        <v>21</v>
      </c>
      <c r="H265" s="3" t="s">
        <v>35</v>
      </c>
      <c r="I265" s="3" t="s">
        <v>23</v>
      </c>
      <c r="J265" s="3">
        <v>2</v>
      </c>
      <c r="K265" s="3">
        <v>3</v>
      </c>
      <c r="L265" s="4">
        <v>44483</v>
      </c>
      <c r="M265" s="7">
        <v>1042</v>
      </c>
      <c r="N265" s="7"/>
      <c r="O265" s="7"/>
      <c r="P265" s="7"/>
    </row>
    <row r="266" spans="1:16" hidden="1" x14ac:dyDescent="0.35">
      <c r="A266" s="151" t="str">
        <f t="shared" si="5"/>
        <v>Wen_WW_HS</v>
      </c>
      <c r="B266" s="3" t="s">
        <v>117</v>
      </c>
      <c r="C266" s="3">
        <v>1067</v>
      </c>
      <c r="D266" s="3" t="s">
        <v>159</v>
      </c>
      <c r="E266" s="3" t="s">
        <v>121</v>
      </c>
      <c r="F266" s="3" t="s">
        <v>20</v>
      </c>
      <c r="G266" s="3" t="s">
        <v>25</v>
      </c>
      <c r="H266" s="3" t="s">
        <v>35</v>
      </c>
      <c r="I266" s="3" t="s">
        <v>23</v>
      </c>
      <c r="J266" s="3">
        <v>2</v>
      </c>
      <c r="K266" s="3">
        <v>4</v>
      </c>
      <c r="L266" s="4">
        <v>44483</v>
      </c>
      <c r="M266" s="7">
        <f>C266</f>
        <v>1067</v>
      </c>
      <c r="N266" s="7"/>
      <c r="O266" s="7"/>
      <c r="P266" s="7"/>
    </row>
    <row r="267" spans="1:16" hidden="1" x14ac:dyDescent="0.35">
      <c r="A267" s="151" t="str">
        <f t="shared" si="5"/>
        <v>Sto_WW_HS</v>
      </c>
      <c r="B267" s="3" t="s">
        <v>117</v>
      </c>
      <c r="C267" s="3">
        <v>1121</v>
      </c>
      <c r="D267" s="3" t="s">
        <v>193</v>
      </c>
      <c r="E267" s="3" t="s">
        <v>121</v>
      </c>
      <c r="F267" s="3" t="s">
        <v>20</v>
      </c>
      <c r="G267" s="3" t="s">
        <v>21</v>
      </c>
      <c r="H267" s="3" t="s">
        <v>28</v>
      </c>
      <c r="I267" s="3" t="s">
        <v>27</v>
      </c>
      <c r="J267" s="3"/>
      <c r="K267" s="3">
        <v>4</v>
      </c>
      <c r="L267" s="4">
        <v>44483</v>
      </c>
      <c r="M267" s="7">
        <v>1122</v>
      </c>
      <c r="N267" s="7"/>
      <c r="O267" s="7"/>
      <c r="P267" s="7"/>
    </row>
    <row r="268" spans="1:16" hidden="1" x14ac:dyDescent="0.35">
      <c r="A268" s="151" t="str">
        <f t="shared" si="5"/>
        <v>Wen_WS_HS</v>
      </c>
      <c r="B268" s="3" t="s">
        <v>117</v>
      </c>
      <c r="C268" s="3">
        <v>1123</v>
      </c>
      <c r="D268" s="3" t="s">
        <v>196</v>
      </c>
      <c r="E268" s="3" t="s">
        <v>121</v>
      </c>
      <c r="F268" s="3" t="s">
        <v>39</v>
      </c>
      <c r="G268" s="3" t="s">
        <v>25</v>
      </c>
      <c r="H268" s="3" t="s">
        <v>26</v>
      </c>
      <c r="I268" s="3" t="s">
        <v>27</v>
      </c>
      <c r="J268" s="3">
        <v>2</v>
      </c>
      <c r="K268" s="3">
        <v>5</v>
      </c>
      <c r="L268" s="4">
        <v>44482</v>
      </c>
      <c r="M268" s="7">
        <f>C268</f>
        <v>1123</v>
      </c>
      <c r="N268" s="7"/>
      <c r="O268" s="7"/>
      <c r="P268" s="7"/>
    </row>
    <row r="269" spans="1:16" hidden="1" x14ac:dyDescent="0.35">
      <c r="A269" s="151" t="str">
        <f t="shared" si="5"/>
        <v>Wen_WS_HS</v>
      </c>
      <c r="B269" s="3" t="s">
        <v>117</v>
      </c>
      <c r="C269" s="3">
        <v>1123</v>
      </c>
      <c r="D269" s="3" t="s">
        <v>196</v>
      </c>
      <c r="E269" s="3" t="s">
        <v>121</v>
      </c>
      <c r="F269" s="3" t="s">
        <v>39</v>
      </c>
      <c r="G269" s="3" t="s">
        <v>25</v>
      </c>
      <c r="H269" s="3" t="s">
        <v>28</v>
      </c>
      <c r="I269" s="3" t="s">
        <v>27</v>
      </c>
      <c r="J269" s="3">
        <v>2</v>
      </c>
      <c r="K269" s="3">
        <v>5</v>
      </c>
      <c r="L269" s="4">
        <v>44482</v>
      </c>
      <c r="M269" s="7">
        <v>1124</v>
      </c>
      <c r="N269" s="7"/>
      <c r="O269" s="7"/>
      <c r="P269" s="7"/>
    </row>
    <row r="270" spans="1:16" hidden="1" x14ac:dyDescent="0.35">
      <c r="A270" s="151" t="str">
        <f t="shared" si="5"/>
        <v>Wen_WW_HS</v>
      </c>
      <c r="B270" s="3" t="s">
        <v>117</v>
      </c>
      <c r="C270" s="3">
        <v>1125</v>
      </c>
      <c r="D270" s="3" t="s">
        <v>197</v>
      </c>
      <c r="E270" s="3" t="s">
        <v>121</v>
      </c>
      <c r="F270" s="3" t="s">
        <v>20</v>
      </c>
      <c r="G270" s="3" t="s">
        <v>25</v>
      </c>
      <c r="H270" s="3" t="s">
        <v>26</v>
      </c>
      <c r="I270" s="3" t="s">
        <v>27</v>
      </c>
      <c r="J270" s="3">
        <v>2</v>
      </c>
      <c r="K270" s="3">
        <v>5</v>
      </c>
      <c r="L270" s="4">
        <v>44483</v>
      </c>
      <c r="M270" s="7">
        <f>C270</f>
        <v>1125</v>
      </c>
      <c r="N270" s="7"/>
      <c r="O270" s="7"/>
      <c r="P270" s="7"/>
    </row>
    <row r="271" spans="1:16" hidden="1" x14ac:dyDescent="0.35">
      <c r="A271" s="151" t="str">
        <f t="shared" si="5"/>
        <v>Wen_WW_HS</v>
      </c>
      <c r="B271" s="3" t="s">
        <v>117</v>
      </c>
      <c r="C271" s="3">
        <v>1125</v>
      </c>
      <c r="D271" s="3" t="s">
        <v>197</v>
      </c>
      <c r="E271" s="3" t="s">
        <v>121</v>
      </c>
      <c r="F271" s="3" t="s">
        <v>20</v>
      </c>
      <c r="G271" s="3" t="s">
        <v>25</v>
      </c>
      <c r="H271" s="3" t="s">
        <v>28</v>
      </c>
      <c r="I271" s="3" t="s">
        <v>27</v>
      </c>
      <c r="J271" s="3">
        <v>2</v>
      </c>
      <c r="K271" s="3">
        <v>5</v>
      </c>
      <c r="L271" s="4">
        <v>44483</v>
      </c>
      <c r="M271" s="7">
        <v>1126</v>
      </c>
      <c r="N271" s="7"/>
      <c r="O271" s="7"/>
      <c r="P271" s="7"/>
    </row>
    <row r="272" spans="1:16" hidden="1" x14ac:dyDescent="0.35">
      <c r="A272" s="151" t="str">
        <f t="shared" si="5"/>
        <v>Sto_WW_HS</v>
      </c>
      <c r="B272" s="3" t="s">
        <v>117</v>
      </c>
      <c r="C272" s="3">
        <v>1127</v>
      </c>
      <c r="D272" s="3" t="s">
        <v>198</v>
      </c>
      <c r="E272" s="3" t="s">
        <v>121</v>
      </c>
      <c r="F272" s="3" t="s">
        <v>20</v>
      </c>
      <c r="G272" s="3" t="s">
        <v>21</v>
      </c>
      <c r="H272" s="3" t="s">
        <v>22</v>
      </c>
      <c r="I272" s="3" t="s">
        <v>23</v>
      </c>
      <c r="J272" s="3">
        <v>2</v>
      </c>
      <c r="K272" s="3">
        <v>8</v>
      </c>
      <c r="L272" s="4">
        <v>44483</v>
      </c>
      <c r="M272" s="7">
        <f>C272</f>
        <v>1127</v>
      </c>
      <c r="N272" s="7"/>
      <c r="O272" s="7"/>
      <c r="P272" s="7"/>
    </row>
    <row r="273" spans="1:16" hidden="1" x14ac:dyDescent="0.35">
      <c r="A273" s="151" t="str">
        <f t="shared" si="5"/>
        <v>Sto_WW_HS</v>
      </c>
      <c r="B273" s="3" t="s">
        <v>117</v>
      </c>
      <c r="C273" s="3">
        <v>1121</v>
      </c>
      <c r="D273" s="3" t="s">
        <v>193</v>
      </c>
      <c r="E273" s="3" t="s">
        <v>121</v>
      </c>
      <c r="F273" s="3" t="s">
        <v>20</v>
      </c>
      <c r="G273" s="3" t="s">
        <v>21</v>
      </c>
      <c r="H273" s="3" t="s">
        <v>35</v>
      </c>
      <c r="I273" s="3" t="s">
        <v>27</v>
      </c>
      <c r="J273" s="3"/>
      <c r="K273" s="3">
        <v>4</v>
      </c>
      <c r="L273" s="4">
        <v>44483</v>
      </c>
      <c r="M273" s="7">
        <f>C273</f>
        <v>1121</v>
      </c>
      <c r="N273" s="7"/>
      <c r="O273" s="7"/>
      <c r="P273" s="7"/>
    </row>
    <row r="274" spans="1:16" hidden="1" x14ac:dyDescent="0.35">
      <c r="A274" s="151" t="str">
        <f t="shared" si="5"/>
        <v>Sto_WS_HS</v>
      </c>
      <c r="B274" s="3" t="s">
        <v>117</v>
      </c>
      <c r="C274" s="3">
        <v>1129</v>
      </c>
      <c r="D274" s="3" t="s">
        <v>199</v>
      </c>
      <c r="E274" s="3" t="s">
        <v>121</v>
      </c>
      <c r="F274" s="3" t="s">
        <v>39</v>
      </c>
      <c r="G274" s="3" t="s">
        <v>21</v>
      </c>
      <c r="H274" s="3" t="s">
        <v>26</v>
      </c>
      <c r="I274" s="3" t="s">
        <v>27</v>
      </c>
      <c r="J274" s="3">
        <v>2</v>
      </c>
      <c r="K274" s="3">
        <v>5</v>
      </c>
      <c r="L274" s="4">
        <v>44483</v>
      </c>
      <c r="M274" s="7">
        <f>C274</f>
        <v>1129</v>
      </c>
      <c r="N274" s="7"/>
      <c r="O274" s="7"/>
      <c r="P274" s="7"/>
    </row>
    <row r="275" spans="1:16" hidden="1" x14ac:dyDescent="0.35">
      <c r="A275" s="151" t="str">
        <f t="shared" si="5"/>
        <v>Sto_WS_HS</v>
      </c>
      <c r="B275" s="3" t="s">
        <v>117</v>
      </c>
      <c r="C275" s="3">
        <v>1129</v>
      </c>
      <c r="D275" s="3" t="s">
        <v>199</v>
      </c>
      <c r="E275" s="3" t="s">
        <v>121</v>
      </c>
      <c r="F275" s="3" t="s">
        <v>39</v>
      </c>
      <c r="G275" s="3" t="s">
        <v>21</v>
      </c>
      <c r="H275" s="3" t="s">
        <v>28</v>
      </c>
      <c r="I275" s="3" t="s">
        <v>27</v>
      </c>
      <c r="J275" s="3">
        <v>2</v>
      </c>
      <c r="K275" s="3">
        <v>5</v>
      </c>
      <c r="L275" s="4">
        <v>44483</v>
      </c>
      <c r="M275" s="7">
        <v>1130</v>
      </c>
      <c r="N275" s="7"/>
      <c r="O275" s="7"/>
      <c r="P275" s="7"/>
    </row>
    <row r="276" spans="1:16" hidden="1" x14ac:dyDescent="0.35">
      <c r="A276" s="151" t="str">
        <f t="shared" si="5"/>
        <v>Wen_WW_HS</v>
      </c>
      <c r="B276" s="3" t="s">
        <v>117</v>
      </c>
      <c r="C276" s="3">
        <v>1131</v>
      </c>
      <c r="D276" s="3" t="s">
        <v>200</v>
      </c>
      <c r="E276" s="3" t="s">
        <v>121</v>
      </c>
      <c r="F276" s="3" t="s">
        <v>20</v>
      </c>
      <c r="G276" s="3" t="s">
        <v>25</v>
      </c>
      <c r="H276" s="3" t="s">
        <v>22</v>
      </c>
      <c r="I276" s="3" t="s">
        <v>23</v>
      </c>
      <c r="J276" s="3">
        <v>2</v>
      </c>
      <c r="K276" s="3">
        <v>8</v>
      </c>
      <c r="L276" s="4">
        <v>44483</v>
      </c>
      <c r="M276" s="7">
        <f>C276</f>
        <v>1131</v>
      </c>
      <c r="N276" s="7"/>
      <c r="O276" s="7"/>
      <c r="P276" s="7"/>
    </row>
    <row r="277" spans="1:16" hidden="1" x14ac:dyDescent="0.35">
      <c r="A277" s="151" t="str">
        <f t="shared" si="5"/>
        <v>Sto_WW_HS</v>
      </c>
      <c r="B277" s="3" t="s">
        <v>117</v>
      </c>
      <c r="C277" s="3">
        <v>1127</v>
      </c>
      <c r="D277" s="3" t="s">
        <v>198</v>
      </c>
      <c r="E277" s="3" t="s">
        <v>121</v>
      </c>
      <c r="F277" s="3" t="s">
        <v>20</v>
      </c>
      <c r="G277" s="3" t="s">
        <v>21</v>
      </c>
      <c r="H277" s="3" t="s">
        <v>35</v>
      </c>
      <c r="I277" s="3" t="s">
        <v>23</v>
      </c>
      <c r="J277" s="3">
        <v>2</v>
      </c>
      <c r="K277" s="3">
        <v>8</v>
      </c>
      <c r="L277" s="4">
        <v>44483</v>
      </c>
      <c r="M277" s="7">
        <v>1128</v>
      </c>
      <c r="N277" s="7"/>
      <c r="O277" s="7"/>
      <c r="P277" s="7"/>
    </row>
    <row r="278" spans="1:16" hidden="1" x14ac:dyDescent="0.35">
      <c r="A278" s="151" t="str">
        <f t="shared" si="5"/>
        <v>Sto_WW_HS</v>
      </c>
      <c r="B278" s="3" t="s">
        <v>117</v>
      </c>
      <c r="C278" s="3">
        <v>1133</v>
      </c>
      <c r="D278" s="3" t="s">
        <v>201</v>
      </c>
      <c r="E278" s="3" t="s">
        <v>121</v>
      </c>
      <c r="F278" s="3" t="s">
        <v>20</v>
      </c>
      <c r="G278" s="3" t="s">
        <v>21</v>
      </c>
      <c r="H278" s="3" t="s">
        <v>26</v>
      </c>
      <c r="I278" s="3" t="s">
        <v>27</v>
      </c>
      <c r="J278" s="3">
        <v>2</v>
      </c>
      <c r="K278" s="3">
        <v>5</v>
      </c>
      <c r="L278" s="4">
        <v>44483</v>
      </c>
      <c r="M278" s="7">
        <f>C278</f>
        <v>1133</v>
      </c>
      <c r="N278" s="7"/>
      <c r="O278" s="7"/>
      <c r="P278" s="7"/>
    </row>
    <row r="279" spans="1:16" hidden="1" x14ac:dyDescent="0.35">
      <c r="A279" s="151" t="str">
        <f t="shared" si="5"/>
        <v>Sto_WW_HS</v>
      </c>
      <c r="B279" s="3" t="s">
        <v>117</v>
      </c>
      <c r="C279" s="3">
        <v>1133</v>
      </c>
      <c r="D279" s="3" t="s">
        <v>201</v>
      </c>
      <c r="E279" s="3" t="s">
        <v>121</v>
      </c>
      <c r="F279" s="3" t="s">
        <v>20</v>
      </c>
      <c r="G279" s="3" t="s">
        <v>21</v>
      </c>
      <c r="H279" s="3" t="s">
        <v>28</v>
      </c>
      <c r="I279" s="3" t="s">
        <v>27</v>
      </c>
      <c r="J279" s="3">
        <v>2</v>
      </c>
      <c r="K279" s="3">
        <v>5</v>
      </c>
      <c r="L279" s="4">
        <v>44483</v>
      </c>
      <c r="M279" s="7">
        <v>1134</v>
      </c>
      <c r="N279" s="7"/>
      <c r="O279" s="7"/>
      <c r="P279" s="7"/>
    </row>
    <row r="280" spans="1:16" hidden="1" x14ac:dyDescent="0.35">
      <c r="A280" s="151" t="str">
        <f t="shared" si="5"/>
        <v>Sto_WW_OT</v>
      </c>
      <c r="B280" s="3" t="s">
        <v>117</v>
      </c>
      <c r="C280" s="3">
        <v>1135</v>
      </c>
      <c r="D280" s="3" t="s">
        <v>202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23</v>
      </c>
      <c r="J280" s="3">
        <v>1</v>
      </c>
      <c r="K280" s="3">
        <v>3</v>
      </c>
      <c r="L280" s="4">
        <v>44466</v>
      </c>
      <c r="M280" s="7">
        <f>C280</f>
        <v>1135</v>
      </c>
      <c r="N280" s="7"/>
      <c r="O280" s="7"/>
      <c r="P280" s="7"/>
    </row>
    <row r="281" spans="1:16" hidden="1" x14ac:dyDescent="0.35">
      <c r="A281" s="151" t="str">
        <f t="shared" si="5"/>
        <v>Sto_WW_OT</v>
      </c>
      <c r="B281" s="3" t="s">
        <v>117</v>
      </c>
      <c r="C281" s="3">
        <v>1135</v>
      </c>
      <c r="D281" s="3" t="s">
        <v>202</v>
      </c>
      <c r="E281" s="3" t="s">
        <v>19</v>
      </c>
      <c r="F281" s="3" t="s">
        <v>20</v>
      </c>
      <c r="G281" s="3" t="s">
        <v>21</v>
      </c>
      <c r="H281" s="3" t="s">
        <v>22</v>
      </c>
      <c r="I281" s="3" t="s">
        <v>23</v>
      </c>
      <c r="J281" s="3">
        <v>1</v>
      </c>
      <c r="K281" s="3">
        <v>3</v>
      </c>
      <c r="L281" s="4">
        <v>44466</v>
      </c>
      <c r="M281" s="7">
        <v>1136</v>
      </c>
      <c r="N281" s="7"/>
      <c r="O281" s="7"/>
      <c r="P281" s="7"/>
    </row>
    <row r="282" spans="1:16" hidden="1" x14ac:dyDescent="0.35">
      <c r="A282" s="151" t="str">
        <f t="shared" si="5"/>
        <v>Wen_WW_HS</v>
      </c>
      <c r="B282" s="3" t="s">
        <v>117</v>
      </c>
      <c r="C282" s="3">
        <v>1137</v>
      </c>
      <c r="D282" s="3" t="s">
        <v>203</v>
      </c>
      <c r="E282" s="3" t="s">
        <v>121</v>
      </c>
      <c r="F282" s="3" t="s">
        <v>20</v>
      </c>
      <c r="G282" s="3" t="s">
        <v>25</v>
      </c>
      <c r="H282" s="3" t="s">
        <v>35</v>
      </c>
      <c r="I282" s="3"/>
      <c r="J282" s="3">
        <v>2</v>
      </c>
      <c r="K282" s="3">
        <v>3</v>
      </c>
      <c r="L282" s="4">
        <v>44483</v>
      </c>
      <c r="M282" s="7">
        <f>C282</f>
        <v>1137</v>
      </c>
      <c r="N282" s="7"/>
      <c r="O282" s="7"/>
      <c r="P282" s="7"/>
    </row>
    <row r="283" spans="1:16" hidden="1" x14ac:dyDescent="0.35">
      <c r="A283" s="151" t="str">
        <f t="shared" si="5"/>
        <v>Wen_WW_HS</v>
      </c>
      <c r="B283" s="3" t="s">
        <v>117</v>
      </c>
      <c r="C283" s="3">
        <v>1137</v>
      </c>
      <c r="D283" s="3" t="s">
        <v>203</v>
      </c>
      <c r="E283" s="3" t="s">
        <v>121</v>
      </c>
      <c r="F283" s="3" t="s">
        <v>20</v>
      </c>
      <c r="G283" s="3" t="s">
        <v>25</v>
      </c>
      <c r="H283" s="3"/>
      <c r="I283" s="3"/>
      <c r="J283" s="3">
        <v>2</v>
      </c>
      <c r="K283" s="3">
        <v>3</v>
      </c>
      <c r="L283" s="4">
        <v>44483</v>
      </c>
      <c r="M283" s="7">
        <v>1138</v>
      </c>
      <c r="N283" s="7"/>
      <c r="O283" s="7"/>
      <c r="P283" s="7"/>
    </row>
    <row r="284" spans="1:16" hidden="1" x14ac:dyDescent="0.35">
      <c r="A284" s="151" t="str">
        <f t="shared" si="5"/>
        <v>Sto_WW_HS</v>
      </c>
      <c r="B284" s="3" t="s">
        <v>117</v>
      </c>
      <c r="C284" s="3">
        <v>1139</v>
      </c>
      <c r="D284" s="3" t="s">
        <v>204</v>
      </c>
      <c r="E284" s="3" t="s">
        <v>121</v>
      </c>
      <c r="F284" s="3" t="s">
        <v>20</v>
      </c>
      <c r="G284" s="3" t="s">
        <v>21</v>
      </c>
      <c r="H284" s="3" t="s">
        <v>35</v>
      </c>
      <c r="I284" s="3" t="s">
        <v>23</v>
      </c>
      <c r="J284" s="3"/>
      <c r="K284" s="3">
        <v>3</v>
      </c>
      <c r="L284" s="4">
        <v>44483</v>
      </c>
      <c r="M284" s="7">
        <f>C284</f>
        <v>1139</v>
      </c>
      <c r="N284" s="7"/>
      <c r="O284" s="7"/>
      <c r="P284" s="7"/>
    </row>
    <row r="285" spans="1:16" hidden="1" x14ac:dyDescent="0.35">
      <c r="A285" s="151" t="str">
        <f t="shared" ref="A285:A289" si="6">LEFT(G285,3)&amp;"_"&amp;F285&amp;"_"&amp;E285</f>
        <v>Sto_WW_HS</v>
      </c>
      <c r="B285" s="3" t="s">
        <v>117</v>
      </c>
      <c r="C285" s="3">
        <v>1139</v>
      </c>
      <c r="D285" s="3" t="s">
        <v>204</v>
      </c>
      <c r="E285" s="3" t="s">
        <v>121</v>
      </c>
      <c r="F285" s="3" t="s">
        <v>20</v>
      </c>
      <c r="G285" s="3" t="s">
        <v>21</v>
      </c>
      <c r="H285" s="3"/>
      <c r="I285" s="3" t="s">
        <v>27</v>
      </c>
      <c r="J285" s="3"/>
      <c r="K285" s="3">
        <v>3</v>
      </c>
      <c r="L285" s="4">
        <v>44483</v>
      </c>
      <c r="M285" s="7">
        <v>1140</v>
      </c>
      <c r="N285" s="7"/>
      <c r="O285" s="7"/>
      <c r="P285" s="7"/>
    </row>
    <row r="286" spans="1:16" hidden="1" x14ac:dyDescent="0.35">
      <c r="A286" s="151" t="str">
        <f t="shared" si="6"/>
        <v>Wen_WW_OT</v>
      </c>
      <c r="B286" s="3" t="s">
        <v>117</v>
      </c>
      <c r="C286" s="3">
        <v>1141</v>
      </c>
      <c r="D286" s="3" t="s">
        <v>205</v>
      </c>
      <c r="E286" s="3" t="s">
        <v>19</v>
      </c>
      <c r="F286" s="3" t="s">
        <v>20</v>
      </c>
      <c r="G286" s="3" t="s">
        <v>25</v>
      </c>
      <c r="H286" s="3" t="s">
        <v>22</v>
      </c>
      <c r="I286" s="3" t="s">
        <v>23</v>
      </c>
      <c r="J286" s="3">
        <v>1</v>
      </c>
      <c r="K286" s="3">
        <v>3</v>
      </c>
      <c r="L286" s="4">
        <v>44466</v>
      </c>
      <c r="M286" s="7">
        <f>C286</f>
        <v>1141</v>
      </c>
      <c r="N286" s="7"/>
      <c r="O286" s="7"/>
      <c r="P286" s="7"/>
    </row>
    <row r="287" spans="1:16" hidden="1" x14ac:dyDescent="0.35">
      <c r="A287" s="151" t="str">
        <f t="shared" si="6"/>
        <v>Wen_WW_OT</v>
      </c>
      <c r="B287" s="3" t="s">
        <v>117</v>
      </c>
      <c r="C287" s="3">
        <v>1141</v>
      </c>
      <c r="D287" s="3" t="s">
        <v>205</v>
      </c>
      <c r="E287" s="3" t="s">
        <v>19</v>
      </c>
      <c r="F287" s="3" t="s">
        <v>20</v>
      </c>
      <c r="G287" s="3" t="s">
        <v>25</v>
      </c>
      <c r="H287" s="3" t="s">
        <v>22</v>
      </c>
      <c r="I287" s="3" t="s">
        <v>23</v>
      </c>
      <c r="J287" s="3">
        <v>1</v>
      </c>
      <c r="K287" s="3">
        <v>3</v>
      </c>
      <c r="L287" s="4">
        <v>44466</v>
      </c>
      <c r="M287" s="7">
        <v>1142</v>
      </c>
      <c r="N287" s="7"/>
      <c r="O287" s="7"/>
      <c r="P287" s="7"/>
    </row>
    <row r="288" spans="1:16" hidden="1" x14ac:dyDescent="0.35">
      <c r="A288" s="151" t="str">
        <f t="shared" si="6"/>
        <v>Wen_WW_HS</v>
      </c>
      <c r="B288" s="3" t="s">
        <v>117</v>
      </c>
      <c r="C288" s="3">
        <v>1143</v>
      </c>
      <c r="D288" s="3" t="s">
        <v>206</v>
      </c>
      <c r="E288" s="3" t="s">
        <v>121</v>
      </c>
      <c r="F288" s="3" t="s">
        <v>20</v>
      </c>
      <c r="G288" s="3" t="s">
        <v>25</v>
      </c>
      <c r="H288" s="3" t="s">
        <v>26</v>
      </c>
      <c r="I288" s="3" t="s">
        <v>23</v>
      </c>
      <c r="J288" s="3">
        <v>2</v>
      </c>
      <c r="K288" s="3"/>
      <c r="L288" s="4">
        <v>44481</v>
      </c>
      <c r="M288" s="7">
        <f>C288</f>
        <v>1143</v>
      </c>
      <c r="N288" s="7"/>
      <c r="O288" s="7"/>
      <c r="P288" s="7"/>
    </row>
    <row r="289" spans="1:16" hidden="1" x14ac:dyDescent="0.35">
      <c r="A289" s="151" t="str">
        <f t="shared" si="6"/>
        <v>Wen_WW_HS</v>
      </c>
      <c r="B289" s="3" t="s">
        <v>117</v>
      </c>
      <c r="C289" s="3">
        <v>1143</v>
      </c>
      <c r="D289" s="3" t="s">
        <v>206</v>
      </c>
      <c r="E289" s="3" t="s">
        <v>121</v>
      </c>
      <c r="F289" s="3" t="s">
        <v>20</v>
      </c>
      <c r="G289" s="3" t="s">
        <v>25</v>
      </c>
      <c r="H289" s="3" t="s">
        <v>28</v>
      </c>
      <c r="I289" s="3" t="s">
        <v>23</v>
      </c>
      <c r="J289" s="3">
        <v>2</v>
      </c>
      <c r="K289" s="3"/>
      <c r="L289" s="4">
        <v>44481</v>
      </c>
      <c r="M289" s="7">
        <v>1144</v>
      </c>
      <c r="N289" s="7"/>
      <c r="O289" s="7"/>
      <c r="P289" s="7"/>
    </row>
  </sheetData>
  <autoFilter ref="A1:P289" xr:uid="{932D450C-71F6-4F09-98D8-923559156729}">
    <filterColumn colId="0">
      <filters>
        <filter val="Wen_WW_OT"/>
      </filters>
    </filterColumn>
    <filterColumn colId="11">
      <filters blank="1">
        <dateGroupItem year="2021" month="10" dateTimeGrouping="month"/>
      </filters>
    </filterColumn>
    <sortState xmlns:xlrd2="http://schemas.microsoft.com/office/spreadsheetml/2017/richdata2" ref="A6:P284">
      <sortCondition ref="N1:N289"/>
    </sortState>
  </autoFilter>
  <conditionalFormatting sqref="M2:M289">
    <cfRule type="containsText" dxfId="136" priority="18" operator="containsText" text="faux">
      <formula>NOT(ISERROR(SEARCH("faux",M2)))</formula>
    </cfRule>
  </conditionalFormatting>
  <conditionalFormatting sqref="B1:B73 B75:B145">
    <cfRule type="containsText" dxfId="135" priority="28" operator="containsText" text="U3">
      <formula>NOT(ISERROR(SEARCH("U3",B1)))</formula>
    </cfRule>
  </conditionalFormatting>
  <conditionalFormatting sqref="E1:E145">
    <cfRule type="containsText" dxfId="134" priority="27" operator="containsText" text="HS">
      <formula>NOT(ISERROR(SEARCH("HS",E1)))</formula>
    </cfRule>
  </conditionalFormatting>
  <conditionalFormatting sqref="I1:I145">
    <cfRule type="containsText" dxfId="133" priority="24" operator="containsText" text="flux">
      <formula>NOT(ISERROR(SEARCH("flux",I1)))</formula>
    </cfRule>
    <cfRule type="containsText" dxfId="132" priority="25" operator="containsText" text="JEx">
      <formula>NOT(ISERROR(SEARCH("JEx",I1)))</formula>
    </cfRule>
    <cfRule type="containsText" dxfId="131" priority="26" operator="containsText" text="EB">
      <formula>NOT(ISERROR(SEARCH("EB",I1)))</formula>
    </cfRule>
  </conditionalFormatting>
  <conditionalFormatting sqref="B146:B217 B219:B289">
    <cfRule type="containsText" dxfId="130" priority="23" operator="containsText" text="U3">
      <formula>NOT(ISERROR(SEARCH("U3",B146)))</formula>
    </cfRule>
  </conditionalFormatting>
  <conditionalFormatting sqref="E146:E289">
    <cfRule type="containsText" dxfId="129" priority="22" operator="containsText" text="HS">
      <formula>NOT(ISERROR(SEARCH("HS",E146)))</formula>
    </cfRule>
  </conditionalFormatting>
  <conditionalFormatting sqref="I146:I289">
    <cfRule type="containsText" dxfId="128" priority="19" operator="containsText" text="flux">
      <formula>NOT(ISERROR(SEARCH("flux",I146)))</formula>
    </cfRule>
    <cfRule type="containsText" dxfId="127" priority="20" operator="containsText" text="JEx">
      <formula>NOT(ISERROR(SEARCH("JEx",I146)))</formula>
    </cfRule>
    <cfRule type="containsText" dxfId="126" priority="21" operator="containsText" text="EB">
      <formula>NOT(ISERROR(SEARCH("EB",I146)))</formula>
    </cfRule>
  </conditionalFormatting>
  <conditionalFormatting sqref="B218">
    <cfRule type="containsText" dxfId="125" priority="29" operator="containsText" text="U3">
      <formula>NOT(ISERROR(SEARCH("U3",B218)))</formula>
    </cfRule>
  </conditionalFormatting>
  <conditionalFormatting sqref="A1:A5 B74 A7:A289">
    <cfRule type="colorScale" priority="30">
      <colorScale>
        <cfvo type="min"/>
        <cfvo type="max"/>
        <color theme="0"/>
        <color theme="5" tint="-0.249977111117893"/>
      </colorScale>
    </cfRule>
  </conditionalFormatting>
  <conditionalFormatting sqref="H1:H289">
    <cfRule type="containsText" dxfId="124" priority="11" operator="containsText" text="BM">
      <formula>NOT(ISERROR(SEARCH("BM",H1)))</formula>
    </cfRule>
    <cfRule type="containsText" dxfId="123" priority="13" operator="containsText" text="exud">
      <formula>NOT(ISERROR(SEARCH("exud",H1)))</formula>
    </cfRule>
    <cfRule type="containsText" dxfId="122" priority="14" operator="containsText" text="jav">
      <formula>NOT(ISERROR(SEARCH("jav",H1)))</formula>
    </cfRule>
    <cfRule type="containsText" dxfId="121" priority="15" operator="containsText" text="eco">
      <formula>NOT(ISERROR(SEARCH("eco",H1)))</formula>
    </cfRule>
  </conditionalFormatting>
  <conditionalFormatting sqref="L1:L28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A1048576">
    <cfRule type="containsText" dxfId="120" priority="6" operator="containsText" text="Sto_WS_HS">
      <formula>NOT(ISERROR(SEARCH("Sto_WS_HS",A1)))</formula>
    </cfRule>
    <cfRule type="containsText" dxfId="119" priority="7" operator="containsText" text="Sto_WS_OT">
      <formula>NOT(ISERROR(SEARCH("Sto_WS_OT",A1)))</formula>
    </cfRule>
    <cfRule type="containsText" dxfId="118" priority="8" operator="containsText" text="Sto_WW_OT">
      <formula>NOT(ISERROR(SEARCH("Sto_WW_OT",A1)))</formula>
    </cfRule>
  </conditionalFormatting>
  <conditionalFormatting sqref="A1:A1048576">
    <cfRule type="containsText" dxfId="117" priority="3" operator="containsText" text="Wen_WS_HS">
      <formula>NOT(ISERROR(SEARCH("Wen_WS_HS",A1)))</formula>
    </cfRule>
    <cfRule type="containsText" dxfId="116" priority="4" operator="containsText" text="Wen_WS_OT">
      <formula>NOT(ISERROR(SEARCH("Wen_WS_OT",A1)))</formula>
    </cfRule>
    <cfRule type="containsText" dxfId="115" priority="5" operator="containsText" text="Wen_WW_OT">
      <formula>NOT(ISERROR(SEARCH("Wen_WW_OT",A1)))</formula>
    </cfRule>
  </conditionalFormatting>
  <conditionalFormatting sqref="A1:A1048576">
    <cfRule type="containsText" dxfId="114" priority="1" operator="containsText" text="Wen_WW_HS">
      <formula>NOT(ISERROR(SEARCH("Wen_WW_HS",A1)))</formula>
    </cfRule>
    <cfRule type="containsText" dxfId="113" priority="2" operator="containsText" text="Sto_WW_HS">
      <formula>NOT(ISERROR(SEARCH("Sto_WW_HS",A1)))</formula>
    </cfRule>
  </conditionalFormatting>
  <printOptions headings="1" gridLines="1"/>
  <pageMargins left="0.25" right="0.25" top="0.75" bottom="0.75" header="0.3" footer="0.3"/>
  <pageSetup paperSize="9" scale="85" orientation="landscape" r:id="rId1"/>
  <headerFooter>
    <oddHeader>&amp;Clist eco for ionomique</oddHeader>
    <oddFooter>&amp;L&amp;Z&amp;F&amp;R&amp;P/&amp;N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514E-8F28-4E8C-AAEC-64768429BE13}">
  <sheetPr filterMode="1"/>
  <dimension ref="A1:Y290"/>
  <sheetViews>
    <sheetView view="pageLayout" topLeftCell="G1" zoomScale="55" zoomScaleNormal="85" zoomScalePageLayoutView="55" workbookViewId="0">
      <selection activeCell="T288" sqref="G1:T288"/>
    </sheetView>
  </sheetViews>
  <sheetFormatPr baseColWidth="10" defaultRowHeight="14.5" x14ac:dyDescent="0.35"/>
  <cols>
    <col min="1" max="4" width="0" hidden="1" customWidth="1"/>
    <col min="5" max="5" width="7.1796875" hidden="1" customWidth="1"/>
    <col min="6" max="6" width="0" hidden="1" customWidth="1"/>
    <col min="7" max="7" width="2.81640625" customWidth="1"/>
    <col min="8" max="8" width="4.453125" customWidth="1"/>
    <col min="9" max="9" width="8.81640625" customWidth="1"/>
    <col min="10" max="10" width="6" customWidth="1"/>
    <col min="11" max="11" width="5.1796875" customWidth="1"/>
    <col min="12" max="12" width="7" customWidth="1"/>
    <col min="13" max="13" width="4.1796875" hidden="1" customWidth="1"/>
    <col min="15" max="16" width="0" hidden="1" customWidth="1"/>
    <col min="17" max="17" width="7.54296875" customWidth="1"/>
    <col min="18" max="18" width="12.81640625" customWidth="1"/>
    <col min="19" max="19" width="0" hidden="1" customWidth="1"/>
    <col min="20" max="20" width="25.453125" style="40" customWidth="1"/>
    <col min="21" max="21" width="8" hidden="1" customWidth="1"/>
    <col min="22" max="24" width="13.1796875" style="40" hidden="1" customWidth="1"/>
    <col min="25" max="25" width="10.1796875" hidden="1" customWidth="1"/>
  </cols>
  <sheetData>
    <row r="1" spans="1:25" ht="43.5" x14ac:dyDescent="0.35">
      <c r="A1" s="1" t="s">
        <v>283</v>
      </c>
      <c r="B1" s="1" t="s">
        <v>0</v>
      </c>
      <c r="C1" s="1" t="s">
        <v>1</v>
      </c>
      <c r="D1" s="1" t="s">
        <v>2</v>
      </c>
      <c r="E1" s="28" t="s">
        <v>258</v>
      </c>
      <c r="F1" s="1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91" t="s">
        <v>11</v>
      </c>
      <c r="N1" s="29" t="s">
        <v>12</v>
      </c>
      <c r="O1" s="92" t="s">
        <v>269</v>
      </c>
      <c r="P1" s="90" t="s">
        <v>13</v>
      </c>
      <c r="Q1" s="28" t="s">
        <v>14</v>
      </c>
      <c r="R1" s="28" t="s">
        <v>323</v>
      </c>
      <c r="S1" s="91" t="s">
        <v>15</v>
      </c>
      <c r="T1" s="37" t="s">
        <v>16</v>
      </c>
      <c r="U1" s="93" t="s">
        <v>293</v>
      </c>
      <c r="V1" s="37" t="s">
        <v>294</v>
      </c>
      <c r="W1" s="46" t="s">
        <v>315</v>
      </c>
      <c r="X1" s="46" t="s">
        <v>317</v>
      </c>
      <c r="Y1" s="46" t="s">
        <v>307</v>
      </c>
    </row>
    <row r="2" spans="1:25" hidden="1" x14ac:dyDescent="0.35">
      <c r="A2" s="3" t="str">
        <f t="shared" ref="A2:A65" si="0">LEFT(I2,3)&amp;"_"&amp;H2&amp;"_"&amp;G2</f>
        <v>Sto_WW_OT</v>
      </c>
      <c r="B2" s="3">
        <v>1</v>
      </c>
      <c r="C2" s="3">
        <v>5</v>
      </c>
      <c r="D2" s="3" t="s">
        <v>17</v>
      </c>
      <c r="E2" s="34">
        <v>1</v>
      </c>
      <c r="F2" s="3" t="s">
        <v>18</v>
      </c>
      <c r="G2" s="98" t="s">
        <v>19</v>
      </c>
      <c r="H2" s="98" t="s">
        <v>20</v>
      </c>
      <c r="I2" s="98" t="s">
        <v>21</v>
      </c>
      <c r="J2" s="98" t="s">
        <v>22</v>
      </c>
      <c r="K2" s="98" t="s">
        <v>23</v>
      </c>
      <c r="L2" s="98">
        <v>1</v>
      </c>
      <c r="M2" s="34">
        <v>1</v>
      </c>
      <c r="N2" s="99">
        <v>44466</v>
      </c>
      <c r="O2" s="35"/>
      <c r="P2" s="32" t="b">
        <v>0</v>
      </c>
      <c r="Q2" s="100">
        <f>E2</f>
        <v>1</v>
      </c>
      <c r="R2" s="100"/>
      <c r="S2" s="34"/>
      <c r="T2" s="101"/>
      <c r="U2" s="86"/>
      <c r="V2" s="89"/>
      <c r="W2" s="89"/>
      <c r="X2" s="89"/>
      <c r="Y2" s="89"/>
    </row>
    <row r="3" spans="1:25" hidden="1" x14ac:dyDescent="0.35">
      <c r="A3" s="3" t="str">
        <f t="shared" si="0"/>
        <v>Sto_WW_OT</v>
      </c>
      <c r="B3" s="3">
        <v>1</v>
      </c>
      <c r="C3" s="3">
        <v>5</v>
      </c>
      <c r="D3" s="3" t="s">
        <v>17</v>
      </c>
      <c r="E3" s="34">
        <v>1</v>
      </c>
      <c r="F3" s="3" t="s">
        <v>18</v>
      </c>
      <c r="G3" s="94" t="s">
        <v>19</v>
      </c>
      <c r="H3" s="94" t="s">
        <v>20</v>
      </c>
      <c r="I3" s="94" t="s">
        <v>21</v>
      </c>
      <c r="J3" s="94" t="s">
        <v>22</v>
      </c>
      <c r="K3" s="94" t="s">
        <v>23</v>
      </c>
      <c r="L3" s="94">
        <v>1</v>
      </c>
      <c r="M3" s="34">
        <v>1</v>
      </c>
      <c r="N3" s="95">
        <v>44466</v>
      </c>
      <c r="O3" s="35"/>
      <c r="P3" s="32" t="b">
        <v>1</v>
      </c>
      <c r="Q3" s="96">
        <v>2</v>
      </c>
      <c r="R3" s="96"/>
      <c r="S3" s="34"/>
      <c r="T3" s="97"/>
      <c r="U3" s="86"/>
      <c r="V3" s="89"/>
      <c r="W3" s="89"/>
      <c r="X3" s="89"/>
      <c r="Y3" s="89"/>
    </row>
    <row r="4" spans="1:25" x14ac:dyDescent="0.35">
      <c r="A4" s="3" t="str">
        <f t="shared" si="0"/>
        <v>Wen_WW_OT</v>
      </c>
      <c r="B4" s="3">
        <v>2</v>
      </c>
      <c r="C4" s="3">
        <v>5</v>
      </c>
      <c r="D4" s="3" t="s">
        <v>17</v>
      </c>
      <c r="E4" s="3">
        <v>3</v>
      </c>
      <c r="F4" s="3" t="s">
        <v>24</v>
      </c>
      <c r="G4" s="34" t="s">
        <v>19</v>
      </c>
      <c r="H4" s="34" t="s">
        <v>20</v>
      </c>
      <c r="I4" s="34" t="s">
        <v>25</v>
      </c>
      <c r="J4" s="34" t="s">
        <v>26</v>
      </c>
      <c r="K4" s="34" t="s">
        <v>27</v>
      </c>
      <c r="L4" s="34">
        <v>2</v>
      </c>
      <c r="M4" s="3">
        <v>1</v>
      </c>
      <c r="N4" s="35">
        <v>44483</v>
      </c>
      <c r="O4" s="4"/>
      <c r="P4" s="5" t="b">
        <v>0</v>
      </c>
      <c r="Q4" s="36">
        <f>E4</f>
        <v>3</v>
      </c>
      <c r="R4" s="36">
        <v>1</v>
      </c>
      <c r="S4" s="3"/>
      <c r="T4" s="39" t="s">
        <v>209</v>
      </c>
      <c r="V4"/>
      <c r="W4"/>
      <c r="X4"/>
      <c r="Y4" s="89"/>
    </row>
    <row r="5" spans="1:25" hidden="1" x14ac:dyDescent="0.35">
      <c r="A5" s="3" t="str">
        <f t="shared" si="0"/>
        <v>Wen_WW_OT</v>
      </c>
      <c r="B5" s="3">
        <v>2</v>
      </c>
      <c r="C5" s="3">
        <v>5</v>
      </c>
      <c r="D5" s="3" t="s">
        <v>17</v>
      </c>
      <c r="E5" s="3">
        <v>3</v>
      </c>
      <c r="F5" s="3" t="s">
        <v>24</v>
      </c>
      <c r="G5" s="3" t="s">
        <v>19</v>
      </c>
      <c r="H5" s="3" t="s">
        <v>20</v>
      </c>
      <c r="I5" s="3" t="s">
        <v>25</v>
      </c>
      <c r="J5" s="3" t="s">
        <v>28</v>
      </c>
      <c r="K5" s="3" t="s">
        <v>27</v>
      </c>
      <c r="L5" s="3">
        <v>2</v>
      </c>
      <c r="M5" s="3">
        <v>1</v>
      </c>
      <c r="N5" s="4">
        <v>44483</v>
      </c>
      <c r="O5" s="4"/>
      <c r="P5" s="5" t="b">
        <v>1</v>
      </c>
      <c r="Q5" s="7">
        <v>4</v>
      </c>
      <c r="R5" s="7"/>
      <c r="S5" s="3"/>
      <c r="T5" s="3"/>
      <c r="V5"/>
      <c r="W5"/>
      <c r="X5"/>
      <c r="Y5" s="89"/>
    </row>
    <row r="6" spans="1:25" hidden="1" x14ac:dyDescent="0.35">
      <c r="A6" s="3" t="str">
        <f t="shared" si="0"/>
        <v>Sto_WW_OT</v>
      </c>
      <c r="B6" s="3">
        <v>3</v>
      </c>
      <c r="C6" s="3">
        <v>5</v>
      </c>
      <c r="D6" s="3" t="s">
        <v>17</v>
      </c>
      <c r="E6" s="3">
        <v>5</v>
      </c>
      <c r="F6" s="3" t="s">
        <v>29</v>
      </c>
      <c r="G6" s="3" t="s">
        <v>19</v>
      </c>
      <c r="H6" s="3" t="s">
        <v>20</v>
      </c>
      <c r="I6" s="3" t="s">
        <v>21</v>
      </c>
      <c r="J6" s="3" t="s">
        <v>35</v>
      </c>
      <c r="K6" s="3"/>
      <c r="L6" s="3">
        <v>2</v>
      </c>
      <c r="M6" s="3">
        <v>1</v>
      </c>
      <c r="N6" s="4">
        <v>44483</v>
      </c>
      <c r="O6" s="54">
        <v>0.72916666666666663</v>
      </c>
      <c r="P6" s="5" t="b">
        <v>0</v>
      </c>
      <c r="Q6" s="7">
        <f>E6</f>
        <v>5</v>
      </c>
      <c r="R6" s="7"/>
      <c r="S6" s="3"/>
      <c r="T6" s="3" t="s">
        <v>275</v>
      </c>
      <c r="V6"/>
      <c r="W6"/>
      <c r="X6"/>
      <c r="Y6" s="89"/>
    </row>
    <row r="7" spans="1:25" hidden="1" x14ac:dyDescent="0.35">
      <c r="A7" s="3" t="str">
        <f t="shared" si="0"/>
        <v>Sto_WW_OT</v>
      </c>
      <c r="B7" s="3">
        <v>3</v>
      </c>
      <c r="C7" s="3">
        <v>5</v>
      </c>
      <c r="D7" s="3" t="s">
        <v>17</v>
      </c>
      <c r="E7" s="34">
        <v>5</v>
      </c>
      <c r="F7" s="3" t="s">
        <v>29</v>
      </c>
      <c r="G7" s="34" t="s">
        <v>19</v>
      </c>
      <c r="H7" s="34" t="s">
        <v>20</v>
      </c>
      <c r="I7" s="34" t="s">
        <v>21</v>
      </c>
      <c r="J7" s="34"/>
      <c r="K7" s="34"/>
      <c r="L7" s="34"/>
      <c r="M7" s="34"/>
      <c r="N7" s="35"/>
      <c r="O7" s="35"/>
      <c r="P7" s="32" t="b">
        <v>1</v>
      </c>
      <c r="Q7" s="36">
        <v>6</v>
      </c>
      <c r="R7" s="36"/>
      <c r="S7" s="34"/>
      <c r="T7" s="39"/>
      <c r="U7" s="86"/>
      <c r="V7" s="89" t="s">
        <v>295</v>
      </c>
      <c r="W7" s="89"/>
      <c r="X7" s="89"/>
      <c r="Y7" s="89" t="s">
        <v>302</v>
      </c>
    </row>
    <row r="8" spans="1:25" hidden="1" x14ac:dyDescent="0.35">
      <c r="A8" s="3" t="str">
        <f t="shared" si="0"/>
        <v>Wen_WW_OT</v>
      </c>
      <c r="B8" s="3">
        <v>4</v>
      </c>
      <c r="C8" s="3">
        <v>5</v>
      </c>
      <c r="D8" s="3" t="s">
        <v>17</v>
      </c>
      <c r="E8" s="34">
        <v>7</v>
      </c>
      <c r="F8" s="3" t="s">
        <v>30</v>
      </c>
      <c r="G8" s="34" t="s">
        <v>19</v>
      </c>
      <c r="H8" s="34" t="s">
        <v>20</v>
      </c>
      <c r="I8" s="34" t="s">
        <v>25</v>
      </c>
      <c r="J8" s="34" t="s">
        <v>22</v>
      </c>
      <c r="K8" s="34" t="s">
        <v>23</v>
      </c>
      <c r="L8" s="34">
        <v>1</v>
      </c>
      <c r="M8" s="34">
        <v>1</v>
      </c>
      <c r="N8" s="35">
        <v>44466</v>
      </c>
      <c r="O8" s="35"/>
      <c r="P8" s="32" t="b">
        <v>0</v>
      </c>
      <c r="Q8" s="36">
        <f>E8</f>
        <v>7</v>
      </c>
      <c r="R8" s="36"/>
      <c r="S8" s="34"/>
      <c r="T8" s="39"/>
      <c r="U8" s="86"/>
      <c r="V8" s="89"/>
      <c r="W8" s="89"/>
      <c r="X8" s="89"/>
      <c r="Y8" s="89"/>
    </row>
    <row r="9" spans="1:25" hidden="1" x14ac:dyDescent="0.35">
      <c r="A9" s="3" t="str">
        <f t="shared" si="0"/>
        <v>Wen_WW_OT</v>
      </c>
      <c r="B9" s="3">
        <v>4</v>
      </c>
      <c r="C9" s="3">
        <v>5</v>
      </c>
      <c r="D9" s="3" t="s">
        <v>17</v>
      </c>
      <c r="E9" s="34">
        <v>7</v>
      </c>
      <c r="F9" s="3" t="s">
        <v>30</v>
      </c>
      <c r="G9" s="94" t="s">
        <v>19</v>
      </c>
      <c r="H9" s="94" t="s">
        <v>20</v>
      </c>
      <c r="I9" s="94" t="s">
        <v>25</v>
      </c>
      <c r="J9" s="94" t="s">
        <v>22</v>
      </c>
      <c r="K9" s="94" t="s">
        <v>23</v>
      </c>
      <c r="L9" s="94">
        <v>1</v>
      </c>
      <c r="M9" s="34">
        <v>1</v>
      </c>
      <c r="N9" s="95">
        <v>44466</v>
      </c>
      <c r="O9" s="35"/>
      <c r="P9" s="32" t="b">
        <v>1</v>
      </c>
      <c r="Q9" s="96">
        <v>8</v>
      </c>
      <c r="R9" s="96"/>
      <c r="S9" s="34"/>
      <c r="T9" s="97"/>
      <c r="U9" s="86"/>
      <c r="V9" s="89"/>
      <c r="W9" s="89"/>
      <c r="X9" s="89"/>
      <c r="Y9" s="89"/>
    </row>
    <row r="10" spans="1:25" x14ac:dyDescent="0.35">
      <c r="A10" s="3" t="str">
        <f t="shared" si="0"/>
        <v>Sto_WW_OT</v>
      </c>
      <c r="B10" s="3">
        <v>5</v>
      </c>
      <c r="C10" s="3">
        <v>5</v>
      </c>
      <c r="D10" s="3" t="s">
        <v>17</v>
      </c>
      <c r="E10" s="3">
        <v>9</v>
      </c>
      <c r="F10" s="3" t="s">
        <v>31</v>
      </c>
      <c r="G10" s="34" t="s">
        <v>19</v>
      </c>
      <c r="H10" s="34" t="s">
        <v>20</v>
      </c>
      <c r="I10" s="34" t="s">
        <v>21</v>
      </c>
      <c r="J10" s="34" t="s">
        <v>26</v>
      </c>
      <c r="K10" s="34" t="s">
        <v>27</v>
      </c>
      <c r="L10" s="34">
        <v>2</v>
      </c>
      <c r="M10" s="3">
        <v>2</v>
      </c>
      <c r="N10" s="35">
        <v>44483</v>
      </c>
      <c r="O10" s="4"/>
      <c r="P10" s="5" t="b">
        <v>0</v>
      </c>
      <c r="Q10" s="36">
        <f>E10</f>
        <v>9</v>
      </c>
      <c r="R10" s="36">
        <v>1</v>
      </c>
      <c r="S10" s="3"/>
      <c r="T10" s="39" t="s">
        <v>219</v>
      </c>
      <c r="V10"/>
      <c r="W10"/>
      <c r="X10"/>
      <c r="Y10" s="89"/>
    </row>
    <row r="11" spans="1:25" hidden="1" x14ac:dyDescent="0.35">
      <c r="A11" s="3" t="str">
        <f t="shared" si="0"/>
        <v>Sto_WW_OT</v>
      </c>
      <c r="B11" s="3">
        <v>5</v>
      </c>
      <c r="C11" s="3">
        <v>5</v>
      </c>
      <c r="D11" s="3" t="s">
        <v>17</v>
      </c>
      <c r="E11" s="3">
        <v>9</v>
      </c>
      <c r="F11" s="3" t="s">
        <v>31</v>
      </c>
      <c r="G11" s="3" t="s">
        <v>19</v>
      </c>
      <c r="H11" s="3" t="s">
        <v>20</v>
      </c>
      <c r="I11" s="3" t="s">
        <v>21</v>
      </c>
      <c r="J11" s="3" t="s">
        <v>28</v>
      </c>
      <c r="K11" s="3" t="s">
        <v>27</v>
      </c>
      <c r="L11" s="3"/>
      <c r="M11" s="3">
        <v>2</v>
      </c>
      <c r="N11" s="4"/>
      <c r="O11" s="4"/>
      <c r="P11" s="5" t="b">
        <v>1</v>
      </c>
      <c r="Q11" s="7">
        <v>10</v>
      </c>
      <c r="R11" s="7"/>
      <c r="S11" s="3"/>
      <c r="T11" s="3"/>
      <c r="V11"/>
      <c r="W11"/>
      <c r="X11"/>
      <c r="Y11" s="89"/>
    </row>
    <row r="12" spans="1:25" hidden="1" x14ac:dyDescent="0.35">
      <c r="A12" s="3" t="str">
        <f t="shared" si="0"/>
        <v>Wen_WW_OT</v>
      </c>
      <c r="B12" s="3">
        <v>6</v>
      </c>
      <c r="C12" s="3">
        <v>5</v>
      </c>
      <c r="D12" s="3" t="s">
        <v>17</v>
      </c>
      <c r="E12" s="34">
        <v>11</v>
      </c>
      <c r="F12" s="3" t="s">
        <v>32</v>
      </c>
      <c r="G12" s="34" t="s">
        <v>19</v>
      </c>
      <c r="H12" s="34" t="s">
        <v>20</v>
      </c>
      <c r="I12" s="34" t="s">
        <v>25</v>
      </c>
      <c r="J12" s="34" t="s">
        <v>22</v>
      </c>
      <c r="K12" s="34" t="s">
        <v>23</v>
      </c>
      <c r="L12" s="34">
        <v>1</v>
      </c>
      <c r="M12" s="34">
        <v>2</v>
      </c>
      <c r="N12" s="35">
        <v>44466</v>
      </c>
      <c r="O12" s="35"/>
      <c r="P12" s="32" t="b">
        <v>0</v>
      </c>
      <c r="Q12" s="36">
        <f>E12</f>
        <v>11</v>
      </c>
      <c r="R12" s="36"/>
      <c r="S12" s="34"/>
      <c r="T12" s="39"/>
      <c r="U12" s="86"/>
      <c r="V12" s="89"/>
      <c r="W12" s="89"/>
      <c r="X12" s="89"/>
      <c r="Y12" s="89"/>
    </row>
    <row r="13" spans="1:25" hidden="1" x14ac:dyDescent="0.35">
      <c r="A13" s="3" t="str">
        <f t="shared" si="0"/>
        <v>Wen_WW_OT</v>
      </c>
      <c r="B13" s="3">
        <v>6</v>
      </c>
      <c r="C13" s="3">
        <v>5</v>
      </c>
      <c r="D13" s="3" t="s">
        <v>17</v>
      </c>
      <c r="E13" s="34">
        <v>11</v>
      </c>
      <c r="F13" s="3" t="s">
        <v>32</v>
      </c>
      <c r="G13" s="34" t="s">
        <v>19</v>
      </c>
      <c r="H13" s="34" t="s">
        <v>20</v>
      </c>
      <c r="I13" s="34" t="s">
        <v>25</v>
      </c>
      <c r="J13" s="34" t="s">
        <v>22</v>
      </c>
      <c r="K13" s="34" t="s">
        <v>23</v>
      </c>
      <c r="L13" s="34">
        <v>1</v>
      </c>
      <c r="M13" s="34">
        <v>2</v>
      </c>
      <c r="N13" s="35">
        <v>44466</v>
      </c>
      <c r="O13" s="35"/>
      <c r="P13" s="32" t="b">
        <v>1</v>
      </c>
      <c r="Q13" s="36">
        <v>12</v>
      </c>
      <c r="R13" s="36"/>
      <c r="S13" s="34"/>
      <c r="T13" s="39"/>
      <c r="U13" s="86"/>
      <c r="V13" s="89"/>
      <c r="W13" s="89"/>
      <c r="X13" s="89"/>
      <c r="Y13" s="89"/>
    </row>
    <row r="14" spans="1:25" hidden="1" x14ac:dyDescent="0.35">
      <c r="A14" s="3" t="str">
        <f t="shared" si="0"/>
        <v>Sto_WW_OT</v>
      </c>
      <c r="B14" s="3">
        <v>7</v>
      </c>
      <c r="C14" s="3">
        <v>5</v>
      </c>
      <c r="D14" s="3" t="s">
        <v>17</v>
      </c>
      <c r="E14" s="34">
        <v>13</v>
      </c>
      <c r="F14" s="3" t="s">
        <v>33</v>
      </c>
      <c r="G14" s="34" t="s">
        <v>19</v>
      </c>
      <c r="H14" s="34" t="s">
        <v>20</v>
      </c>
      <c r="I14" s="34" t="s">
        <v>21</v>
      </c>
      <c r="J14" s="34" t="s">
        <v>22</v>
      </c>
      <c r="K14" s="34" t="s">
        <v>23</v>
      </c>
      <c r="L14" s="34">
        <v>1</v>
      </c>
      <c r="M14" s="34">
        <v>2</v>
      </c>
      <c r="N14" s="35">
        <v>44466</v>
      </c>
      <c r="O14" s="35"/>
      <c r="P14" s="32" t="b">
        <v>0</v>
      </c>
      <c r="Q14" s="36">
        <f>E14</f>
        <v>13</v>
      </c>
      <c r="R14" s="36"/>
      <c r="S14" s="34"/>
      <c r="T14" s="39"/>
      <c r="U14" s="86"/>
      <c r="V14" s="89"/>
      <c r="W14" s="89"/>
      <c r="X14" s="89"/>
      <c r="Y14" s="89"/>
    </row>
    <row r="15" spans="1:25" hidden="1" x14ac:dyDescent="0.35">
      <c r="A15" s="3" t="str">
        <f t="shared" si="0"/>
        <v>Sto_WW_OT</v>
      </c>
      <c r="B15" s="3">
        <v>7</v>
      </c>
      <c r="C15" s="3">
        <v>5</v>
      </c>
      <c r="D15" s="3" t="s">
        <v>17</v>
      </c>
      <c r="E15" s="34">
        <v>13</v>
      </c>
      <c r="F15" s="3" t="s">
        <v>33</v>
      </c>
      <c r="G15" s="34" t="s">
        <v>19</v>
      </c>
      <c r="H15" s="34" t="s">
        <v>20</v>
      </c>
      <c r="I15" s="34" t="s">
        <v>21</v>
      </c>
      <c r="J15" s="34" t="s">
        <v>22</v>
      </c>
      <c r="K15" s="34" t="s">
        <v>23</v>
      </c>
      <c r="L15" s="34">
        <v>1</v>
      </c>
      <c r="M15" s="34">
        <v>2</v>
      </c>
      <c r="N15" s="35">
        <v>44466</v>
      </c>
      <c r="O15" s="35"/>
      <c r="P15" s="32" t="b">
        <v>1</v>
      </c>
      <c r="Q15" s="36">
        <v>14</v>
      </c>
      <c r="R15" s="36"/>
      <c r="S15" s="34"/>
      <c r="T15" s="39"/>
      <c r="U15" s="86"/>
      <c r="V15" s="89"/>
      <c r="W15" s="89"/>
      <c r="X15" s="89"/>
      <c r="Y15" s="89"/>
    </row>
    <row r="16" spans="1:25" hidden="1" x14ac:dyDescent="0.35">
      <c r="A16" s="3" t="str">
        <f t="shared" si="0"/>
        <v>Sto_WW_OT</v>
      </c>
      <c r="B16" s="3">
        <v>17</v>
      </c>
      <c r="C16" s="3">
        <v>2</v>
      </c>
      <c r="D16" s="3" t="s">
        <v>17</v>
      </c>
      <c r="E16" s="34">
        <v>135</v>
      </c>
      <c r="F16" s="3" t="s">
        <v>112</v>
      </c>
      <c r="G16" s="34" t="s">
        <v>19</v>
      </c>
      <c r="H16" s="34" t="s">
        <v>20</v>
      </c>
      <c r="I16" s="34" t="s">
        <v>21</v>
      </c>
      <c r="J16" s="34" t="s">
        <v>22</v>
      </c>
      <c r="K16" s="34" t="s">
        <v>23</v>
      </c>
      <c r="L16" s="34">
        <v>1</v>
      </c>
      <c r="M16" s="34">
        <v>3</v>
      </c>
      <c r="N16" s="35">
        <v>44466</v>
      </c>
      <c r="O16" s="35"/>
      <c r="P16" s="32" t="b">
        <v>0</v>
      </c>
      <c r="Q16" s="36">
        <f>E16</f>
        <v>135</v>
      </c>
      <c r="R16" s="36"/>
      <c r="S16" s="34"/>
      <c r="T16" s="39"/>
      <c r="U16" s="86"/>
      <c r="V16" s="89"/>
      <c r="W16" s="89"/>
      <c r="X16" s="89"/>
      <c r="Y16" s="89"/>
    </row>
    <row r="17" spans="1:25" hidden="1" x14ac:dyDescent="0.35">
      <c r="A17" s="3" t="str">
        <f t="shared" si="0"/>
        <v>Wen_WW_OT</v>
      </c>
      <c r="B17" s="3">
        <v>8</v>
      </c>
      <c r="C17" s="3">
        <v>5</v>
      </c>
      <c r="D17" s="3" t="s">
        <v>17</v>
      </c>
      <c r="E17" s="3">
        <v>15</v>
      </c>
      <c r="F17" s="3" t="s">
        <v>34</v>
      </c>
      <c r="G17" s="3" t="s">
        <v>19</v>
      </c>
      <c r="H17" s="3" t="s">
        <v>20</v>
      </c>
      <c r="I17" s="3" t="s">
        <v>25</v>
      </c>
      <c r="J17" s="3" t="s">
        <v>35</v>
      </c>
      <c r="K17" s="3" t="s">
        <v>23</v>
      </c>
      <c r="L17" s="3">
        <v>2</v>
      </c>
      <c r="M17" s="3">
        <v>2</v>
      </c>
      <c r="N17" s="4">
        <v>44481</v>
      </c>
      <c r="O17" s="54">
        <v>0.34375</v>
      </c>
      <c r="P17" s="5" t="b">
        <v>1</v>
      </c>
      <c r="Q17" s="7">
        <v>16</v>
      </c>
      <c r="R17" s="7"/>
      <c r="S17" s="3"/>
      <c r="T17" s="3"/>
      <c r="V17"/>
      <c r="W17"/>
      <c r="X17"/>
      <c r="Y17" s="89"/>
    </row>
    <row r="18" spans="1:25" hidden="1" x14ac:dyDescent="0.35">
      <c r="A18" s="3" t="str">
        <f t="shared" si="0"/>
        <v>Sto_WW_OT</v>
      </c>
      <c r="B18" s="3">
        <v>17</v>
      </c>
      <c r="C18" s="3">
        <v>2</v>
      </c>
      <c r="D18" s="3" t="s">
        <v>17</v>
      </c>
      <c r="E18" s="34">
        <v>135</v>
      </c>
      <c r="F18" s="3" t="s">
        <v>112</v>
      </c>
      <c r="G18" s="34" t="s">
        <v>19</v>
      </c>
      <c r="H18" s="34" t="s">
        <v>20</v>
      </c>
      <c r="I18" s="34" t="s">
        <v>21</v>
      </c>
      <c r="J18" s="34" t="s">
        <v>22</v>
      </c>
      <c r="K18" s="34" t="s">
        <v>23</v>
      </c>
      <c r="L18" s="34">
        <v>1</v>
      </c>
      <c r="M18" s="34">
        <v>3</v>
      </c>
      <c r="N18" s="35">
        <v>44466</v>
      </c>
      <c r="O18" s="35"/>
      <c r="P18" s="32" t="b">
        <v>1</v>
      </c>
      <c r="Q18" s="36">
        <v>136</v>
      </c>
      <c r="R18" s="36"/>
      <c r="S18" s="34"/>
      <c r="T18" s="39"/>
      <c r="U18" s="86"/>
      <c r="V18" s="89"/>
      <c r="W18" s="89"/>
      <c r="X18" s="89"/>
      <c r="Y18" s="89"/>
    </row>
    <row r="19" spans="1:25" hidden="1" x14ac:dyDescent="0.35">
      <c r="A19" s="3" t="str">
        <f t="shared" si="0"/>
        <v>Sto_WW_OT</v>
      </c>
      <c r="B19" s="3">
        <v>1</v>
      </c>
      <c r="C19" s="3">
        <v>4</v>
      </c>
      <c r="D19" s="3" t="s">
        <v>17</v>
      </c>
      <c r="E19" s="3">
        <v>17</v>
      </c>
      <c r="F19" s="3" t="s">
        <v>36</v>
      </c>
      <c r="G19" s="3" t="s">
        <v>19</v>
      </c>
      <c r="H19" s="3" t="s">
        <v>20</v>
      </c>
      <c r="I19" s="3" t="s">
        <v>21</v>
      </c>
      <c r="J19" s="3" t="s">
        <v>35</v>
      </c>
      <c r="K19" s="3" t="s">
        <v>23</v>
      </c>
      <c r="L19" s="3">
        <v>2</v>
      </c>
      <c r="M19" s="3">
        <v>1</v>
      </c>
      <c r="N19" s="4">
        <v>44481</v>
      </c>
      <c r="O19" s="54">
        <v>0.34375</v>
      </c>
      <c r="P19" s="5" t="b">
        <v>1</v>
      </c>
      <c r="Q19" s="7">
        <v>18</v>
      </c>
      <c r="R19" s="7"/>
      <c r="S19" s="3"/>
      <c r="T19" s="3"/>
      <c r="V19"/>
      <c r="W19"/>
      <c r="X19"/>
      <c r="Y19" s="89"/>
    </row>
    <row r="20" spans="1:25" hidden="1" x14ac:dyDescent="0.35">
      <c r="A20" s="3" t="str">
        <f t="shared" si="0"/>
        <v>Wen_WW_OT</v>
      </c>
      <c r="B20" s="3">
        <v>20</v>
      </c>
      <c r="C20" s="3">
        <v>2</v>
      </c>
      <c r="D20" s="3" t="s">
        <v>17</v>
      </c>
      <c r="E20" s="34">
        <v>141</v>
      </c>
      <c r="F20" s="3" t="s">
        <v>115</v>
      </c>
      <c r="G20" s="34" t="s">
        <v>19</v>
      </c>
      <c r="H20" s="34" t="s">
        <v>20</v>
      </c>
      <c r="I20" s="34" t="s">
        <v>25</v>
      </c>
      <c r="J20" s="34" t="s">
        <v>22</v>
      </c>
      <c r="K20" s="34" t="s">
        <v>23</v>
      </c>
      <c r="L20" s="34">
        <v>1</v>
      </c>
      <c r="M20" s="34">
        <v>3</v>
      </c>
      <c r="N20" s="35">
        <v>44466</v>
      </c>
      <c r="O20" s="35"/>
      <c r="P20" s="32" t="b">
        <f>ISEVEN(Q20)</f>
        <v>0</v>
      </c>
      <c r="Q20" s="36">
        <f>E20</f>
        <v>141</v>
      </c>
      <c r="R20" s="36"/>
      <c r="S20" s="34"/>
      <c r="T20" s="39"/>
      <c r="U20" s="86"/>
      <c r="V20" s="89"/>
      <c r="W20" s="89"/>
      <c r="X20" s="89"/>
      <c r="Y20" s="89"/>
    </row>
    <row r="21" spans="1:25" hidden="1" x14ac:dyDescent="0.35">
      <c r="A21" s="3" t="str">
        <f t="shared" si="0"/>
        <v>Wen_WW_OT</v>
      </c>
      <c r="B21" s="3">
        <v>2</v>
      </c>
      <c r="C21" s="3">
        <v>4</v>
      </c>
      <c r="D21" s="3" t="s">
        <v>17</v>
      </c>
      <c r="E21" s="3">
        <v>19</v>
      </c>
      <c r="F21" s="3" t="s">
        <v>37</v>
      </c>
      <c r="G21" s="3" t="s">
        <v>19</v>
      </c>
      <c r="H21" s="3" t="s">
        <v>20</v>
      </c>
      <c r="I21" s="3" t="s">
        <v>25</v>
      </c>
      <c r="J21" s="3" t="s">
        <v>35</v>
      </c>
      <c r="K21" s="3" t="s">
        <v>23</v>
      </c>
      <c r="L21" s="3">
        <v>2</v>
      </c>
      <c r="M21" s="3">
        <v>1</v>
      </c>
      <c r="N21" s="4">
        <v>44481</v>
      </c>
      <c r="O21" s="54">
        <v>0.34375</v>
      </c>
      <c r="P21" s="5" t="b">
        <v>1</v>
      </c>
      <c r="Q21" s="7">
        <v>20</v>
      </c>
      <c r="R21" s="7"/>
      <c r="S21" s="3"/>
      <c r="T21" s="3"/>
      <c r="V21"/>
      <c r="W21"/>
      <c r="X21"/>
      <c r="Y21" s="89"/>
    </row>
    <row r="22" spans="1:25" x14ac:dyDescent="0.35">
      <c r="A22" s="3" t="str">
        <f t="shared" si="0"/>
        <v>Wen_WS_OT</v>
      </c>
      <c r="B22" s="3">
        <v>3</v>
      </c>
      <c r="C22" s="3">
        <v>4</v>
      </c>
      <c r="D22" s="3" t="s">
        <v>17</v>
      </c>
      <c r="E22" s="3">
        <v>21</v>
      </c>
      <c r="F22" s="3" t="s">
        <v>38</v>
      </c>
      <c r="G22" s="34" t="s">
        <v>19</v>
      </c>
      <c r="H22" s="34" t="s">
        <v>39</v>
      </c>
      <c r="I22" s="34" t="s">
        <v>25</v>
      </c>
      <c r="J22" s="34" t="s">
        <v>26</v>
      </c>
      <c r="K22" s="34" t="s">
        <v>27</v>
      </c>
      <c r="L22" s="34">
        <v>2</v>
      </c>
      <c r="M22" s="3">
        <v>1</v>
      </c>
      <c r="N22" s="35">
        <v>44481</v>
      </c>
      <c r="O22" s="4"/>
      <c r="P22" s="5" t="b">
        <v>0</v>
      </c>
      <c r="Q22" s="36">
        <f>E22</f>
        <v>21</v>
      </c>
      <c r="R22" s="36">
        <v>1</v>
      </c>
      <c r="S22" s="3"/>
      <c r="T22" s="39"/>
      <c r="V22"/>
      <c r="W22"/>
      <c r="X22"/>
      <c r="Y22" s="89"/>
    </row>
    <row r="23" spans="1:25" hidden="1" x14ac:dyDescent="0.35">
      <c r="A23" s="3" t="str">
        <f t="shared" si="0"/>
        <v>Wen_WS_OT</v>
      </c>
      <c r="B23" s="3">
        <v>3</v>
      </c>
      <c r="C23" s="3">
        <v>4</v>
      </c>
      <c r="D23" s="3" t="s">
        <v>17</v>
      </c>
      <c r="E23" s="3">
        <v>21</v>
      </c>
      <c r="F23" s="3" t="s">
        <v>38</v>
      </c>
      <c r="G23" s="3" t="s">
        <v>19</v>
      </c>
      <c r="H23" s="3" t="s">
        <v>39</v>
      </c>
      <c r="I23" s="3" t="s">
        <v>25</v>
      </c>
      <c r="J23" s="3" t="s">
        <v>28</v>
      </c>
      <c r="K23" s="3" t="s">
        <v>27</v>
      </c>
      <c r="L23" s="3">
        <v>2</v>
      </c>
      <c r="M23" s="3">
        <v>1</v>
      </c>
      <c r="N23" s="4">
        <v>44481</v>
      </c>
      <c r="O23" s="4"/>
      <c r="P23" s="5" t="b">
        <v>1</v>
      </c>
      <c r="Q23" s="7">
        <v>22</v>
      </c>
      <c r="R23" s="7"/>
      <c r="S23" s="3"/>
      <c r="T23" s="3"/>
      <c r="V23"/>
      <c r="W23"/>
      <c r="X23"/>
      <c r="Y23" s="89"/>
    </row>
    <row r="24" spans="1:25" hidden="1" x14ac:dyDescent="0.35">
      <c r="A24" s="3" t="str">
        <f t="shared" si="0"/>
        <v>Wen_WW_OT</v>
      </c>
      <c r="B24" s="3">
        <v>20</v>
      </c>
      <c r="C24" s="3">
        <v>2</v>
      </c>
      <c r="D24" s="3" t="s">
        <v>17</v>
      </c>
      <c r="E24" s="34">
        <v>141</v>
      </c>
      <c r="F24" s="3" t="s">
        <v>115</v>
      </c>
      <c r="G24" s="34" t="s">
        <v>19</v>
      </c>
      <c r="H24" s="34" t="s">
        <v>20</v>
      </c>
      <c r="I24" s="34" t="s">
        <v>25</v>
      </c>
      <c r="J24" s="34" t="s">
        <v>22</v>
      </c>
      <c r="K24" s="34" t="s">
        <v>23</v>
      </c>
      <c r="L24" s="34">
        <v>1</v>
      </c>
      <c r="M24" s="34">
        <v>3</v>
      </c>
      <c r="N24" s="35">
        <v>44466</v>
      </c>
      <c r="O24" s="35"/>
      <c r="P24" s="32" t="b">
        <f>ISEVEN(Q24)</f>
        <v>1</v>
      </c>
      <c r="Q24" s="36">
        <v>142</v>
      </c>
      <c r="R24" s="36"/>
      <c r="S24" s="34"/>
      <c r="T24" s="39"/>
      <c r="U24" s="86"/>
      <c r="V24" s="89"/>
      <c r="W24" s="89"/>
      <c r="X24" s="89"/>
      <c r="Y24" s="89"/>
    </row>
    <row r="25" spans="1:25" hidden="1" x14ac:dyDescent="0.35">
      <c r="A25" s="3" t="str">
        <f t="shared" si="0"/>
        <v>Wen_WS_OT</v>
      </c>
      <c r="B25" s="3">
        <v>4</v>
      </c>
      <c r="C25" s="3">
        <v>4</v>
      </c>
      <c r="D25" s="3" t="s">
        <v>17</v>
      </c>
      <c r="E25" s="3">
        <v>23</v>
      </c>
      <c r="F25" s="3" t="s">
        <v>40</v>
      </c>
      <c r="G25" s="3" t="s">
        <v>19</v>
      </c>
      <c r="H25" s="3" t="s">
        <v>39</v>
      </c>
      <c r="I25" s="3" t="s">
        <v>25</v>
      </c>
      <c r="J25" s="3" t="s">
        <v>35</v>
      </c>
      <c r="K25" s="3" t="s">
        <v>23</v>
      </c>
      <c r="L25" s="3">
        <v>2</v>
      </c>
      <c r="M25" s="3">
        <v>1</v>
      </c>
      <c r="N25" s="4">
        <v>44482</v>
      </c>
      <c r="O25" s="54">
        <v>0.38541666666666669</v>
      </c>
      <c r="P25" s="5" t="b">
        <v>1</v>
      </c>
      <c r="Q25" s="7">
        <v>24</v>
      </c>
      <c r="R25" s="7"/>
      <c r="S25" s="3"/>
      <c r="T25" s="3"/>
      <c r="V25"/>
      <c r="W25"/>
      <c r="X25"/>
      <c r="Y25" s="89"/>
    </row>
    <row r="26" spans="1:25" hidden="1" x14ac:dyDescent="0.35">
      <c r="A26" s="3" t="str">
        <f t="shared" si="0"/>
        <v>Sto_WW_OT</v>
      </c>
      <c r="B26" s="3">
        <v>1</v>
      </c>
      <c r="C26" s="3">
        <v>5</v>
      </c>
      <c r="D26" s="3" t="s">
        <v>117</v>
      </c>
      <c r="E26" s="34">
        <v>1001</v>
      </c>
      <c r="F26" s="3" t="s">
        <v>118</v>
      </c>
      <c r="G26" s="34" t="s">
        <v>19</v>
      </c>
      <c r="H26" s="34" t="s">
        <v>20</v>
      </c>
      <c r="I26" s="34" t="s">
        <v>21</v>
      </c>
      <c r="J26" s="34" t="s">
        <v>22</v>
      </c>
      <c r="K26" s="34" t="s">
        <v>23</v>
      </c>
      <c r="L26" s="34">
        <v>1</v>
      </c>
      <c r="M26" s="34">
        <v>1</v>
      </c>
      <c r="N26" s="35">
        <v>44466</v>
      </c>
      <c r="O26" s="35"/>
      <c r="P26" s="32" t="b">
        <f>ISEVEN(Q26)</f>
        <v>0</v>
      </c>
      <c r="Q26" s="36">
        <f>E26</f>
        <v>1001</v>
      </c>
      <c r="R26" s="36"/>
      <c r="S26" s="34"/>
      <c r="T26" s="39" t="s">
        <v>119</v>
      </c>
      <c r="U26" s="86"/>
      <c r="V26" s="89"/>
      <c r="W26" s="89"/>
      <c r="X26" s="89"/>
      <c r="Y26" s="89"/>
    </row>
    <row r="27" spans="1:25" hidden="1" x14ac:dyDescent="0.35">
      <c r="A27" s="3" t="str">
        <f t="shared" si="0"/>
        <v>Sto_WS_OT</v>
      </c>
      <c r="B27" s="3">
        <v>5</v>
      </c>
      <c r="C27" s="3">
        <v>4</v>
      </c>
      <c r="D27" s="3" t="s">
        <v>17</v>
      </c>
      <c r="E27" s="3">
        <v>25</v>
      </c>
      <c r="F27" s="3" t="s">
        <v>41</v>
      </c>
      <c r="G27" s="3" t="s">
        <v>19</v>
      </c>
      <c r="H27" s="3" t="s">
        <v>39</v>
      </c>
      <c r="I27" s="3" t="s">
        <v>21</v>
      </c>
      <c r="J27" s="3" t="s">
        <v>35</v>
      </c>
      <c r="K27" s="3" t="s">
        <v>23</v>
      </c>
      <c r="L27" s="3">
        <v>2</v>
      </c>
      <c r="M27" s="3">
        <v>1</v>
      </c>
      <c r="N27" s="4">
        <v>44481</v>
      </c>
      <c r="O27" s="54">
        <v>0.47222222222222227</v>
      </c>
      <c r="P27" s="5" t="b">
        <v>1</v>
      </c>
      <c r="Q27" s="7">
        <v>26</v>
      </c>
      <c r="R27" s="7"/>
      <c r="S27" s="3"/>
      <c r="T27" s="3"/>
      <c r="V27"/>
      <c r="W27"/>
      <c r="X27"/>
      <c r="Y27" s="89"/>
    </row>
    <row r="28" spans="1:25" hidden="1" x14ac:dyDescent="0.35">
      <c r="A28" s="3" t="str">
        <f t="shared" si="0"/>
        <v>Sto_WW_OT</v>
      </c>
      <c r="B28" s="3">
        <v>1</v>
      </c>
      <c r="C28" s="3">
        <v>5</v>
      </c>
      <c r="D28" s="3" t="s">
        <v>117</v>
      </c>
      <c r="E28" s="34">
        <v>1001</v>
      </c>
      <c r="F28" s="3" t="s">
        <v>118</v>
      </c>
      <c r="G28" s="34" t="s">
        <v>19</v>
      </c>
      <c r="H28" s="34" t="s">
        <v>20</v>
      </c>
      <c r="I28" s="34" t="s">
        <v>21</v>
      </c>
      <c r="J28" s="34" t="s">
        <v>22</v>
      </c>
      <c r="K28" s="34" t="s">
        <v>23</v>
      </c>
      <c r="L28" s="34">
        <v>1</v>
      </c>
      <c r="M28" s="34">
        <v>1</v>
      </c>
      <c r="N28" s="35">
        <v>44466</v>
      </c>
      <c r="O28" s="35"/>
      <c r="P28" s="32" t="b">
        <f>ISEVEN(Q28)</f>
        <v>1</v>
      </c>
      <c r="Q28" s="36">
        <v>1002</v>
      </c>
      <c r="R28" s="36"/>
      <c r="S28" s="34"/>
      <c r="T28" s="39" t="s">
        <v>119</v>
      </c>
      <c r="U28" s="86"/>
      <c r="V28" s="89"/>
      <c r="W28" s="89"/>
      <c r="X28" s="89"/>
      <c r="Y28" s="89"/>
    </row>
    <row r="29" spans="1:25" hidden="1" x14ac:dyDescent="0.35">
      <c r="A29" s="3" t="str">
        <f t="shared" si="0"/>
        <v>Sto_WW_OT</v>
      </c>
      <c r="B29" s="3">
        <v>6</v>
      </c>
      <c r="C29" s="3">
        <v>4</v>
      </c>
      <c r="D29" s="3" t="s">
        <v>17</v>
      </c>
      <c r="E29" s="3">
        <v>27</v>
      </c>
      <c r="F29" s="3" t="s">
        <v>42</v>
      </c>
      <c r="G29" s="3" t="s">
        <v>19</v>
      </c>
      <c r="H29" s="3" t="s">
        <v>20</v>
      </c>
      <c r="I29" s="3" t="s">
        <v>21</v>
      </c>
      <c r="J29" s="3" t="s">
        <v>35</v>
      </c>
      <c r="K29" s="3" t="s">
        <v>23</v>
      </c>
      <c r="L29" s="3">
        <v>2</v>
      </c>
      <c r="M29" s="3">
        <v>2</v>
      </c>
      <c r="N29" s="4">
        <v>44481</v>
      </c>
      <c r="O29" s="54">
        <v>0.47222222222222227</v>
      </c>
      <c r="P29" s="5" t="b">
        <v>1</v>
      </c>
      <c r="Q29" s="7">
        <v>28</v>
      </c>
      <c r="R29" s="7"/>
      <c r="S29" s="3"/>
      <c r="T29" s="3"/>
      <c r="V29"/>
      <c r="W29"/>
      <c r="X29"/>
      <c r="Y29" s="89"/>
    </row>
    <row r="30" spans="1:25" hidden="1" x14ac:dyDescent="0.35">
      <c r="A30" s="3" t="str">
        <f t="shared" si="0"/>
        <v>Wen_WW_OT</v>
      </c>
      <c r="B30" s="3">
        <v>4</v>
      </c>
      <c r="C30" s="3">
        <v>5</v>
      </c>
      <c r="D30" s="3" t="s">
        <v>117</v>
      </c>
      <c r="E30" s="34">
        <v>1007</v>
      </c>
      <c r="F30" s="3" t="s">
        <v>125</v>
      </c>
      <c r="G30" s="34" t="s">
        <v>19</v>
      </c>
      <c r="H30" s="34" t="s">
        <v>20</v>
      </c>
      <c r="I30" s="34" t="s">
        <v>25</v>
      </c>
      <c r="J30" s="34" t="s">
        <v>22</v>
      </c>
      <c r="K30" s="34" t="s">
        <v>23</v>
      </c>
      <c r="L30" s="34">
        <v>1</v>
      </c>
      <c r="M30" s="34">
        <v>1</v>
      </c>
      <c r="N30" s="35">
        <v>44466</v>
      </c>
      <c r="O30" s="35"/>
      <c r="P30" s="32" t="b">
        <f>ISEVEN(Q30)</f>
        <v>0</v>
      </c>
      <c r="Q30" s="36">
        <f>E30</f>
        <v>1007</v>
      </c>
      <c r="R30" s="36"/>
      <c r="S30" s="34"/>
      <c r="T30" s="39"/>
      <c r="U30" s="86"/>
      <c r="V30" s="89"/>
      <c r="W30" s="89"/>
      <c r="X30" s="89"/>
      <c r="Y30" s="89"/>
    </row>
    <row r="31" spans="1:25" hidden="1" x14ac:dyDescent="0.35">
      <c r="A31" s="3" t="str">
        <f t="shared" si="0"/>
        <v>Wen_WW_OT</v>
      </c>
      <c r="B31" s="3">
        <v>7</v>
      </c>
      <c r="C31" s="3">
        <v>4</v>
      </c>
      <c r="D31" s="3" t="s">
        <v>17</v>
      </c>
      <c r="E31" s="3">
        <v>29</v>
      </c>
      <c r="F31" s="3" t="s">
        <v>43</v>
      </c>
      <c r="G31" s="3" t="s">
        <v>19</v>
      </c>
      <c r="H31" s="3" t="s">
        <v>20</v>
      </c>
      <c r="I31" s="3" t="s">
        <v>25</v>
      </c>
      <c r="J31" s="3" t="s">
        <v>35</v>
      </c>
      <c r="K31" s="3" t="s">
        <v>23</v>
      </c>
      <c r="L31" s="3">
        <v>2</v>
      </c>
      <c r="M31" s="3">
        <v>2</v>
      </c>
      <c r="N31" s="4">
        <v>44481</v>
      </c>
      <c r="O31" s="54">
        <v>0.47222222222222227</v>
      </c>
      <c r="P31" s="5" t="b">
        <v>1</v>
      </c>
      <c r="Q31" s="7">
        <v>30</v>
      </c>
      <c r="R31" s="7"/>
      <c r="S31" s="3"/>
      <c r="T31" s="3"/>
      <c r="V31"/>
      <c r="W31"/>
      <c r="X31"/>
      <c r="Y31" s="89"/>
    </row>
    <row r="32" spans="1:25" x14ac:dyDescent="0.35">
      <c r="A32" s="3" t="str">
        <f t="shared" si="0"/>
        <v>Sto_WW_OT</v>
      </c>
      <c r="B32" s="3">
        <v>8</v>
      </c>
      <c r="C32" s="3">
        <v>4</v>
      </c>
      <c r="D32" s="3" t="s">
        <v>17</v>
      </c>
      <c r="E32" s="3">
        <v>31</v>
      </c>
      <c r="F32" s="3" t="s">
        <v>44</v>
      </c>
      <c r="G32" s="34" t="s">
        <v>19</v>
      </c>
      <c r="H32" s="34" t="s">
        <v>20</v>
      </c>
      <c r="I32" s="34" t="s">
        <v>21</v>
      </c>
      <c r="J32" s="34" t="s">
        <v>26</v>
      </c>
      <c r="K32" s="34" t="s">
        <v>27</v>
      </c>
      <c r="L32" s="34">
        <v>2</v>
      </c>
      <c r="M32" s="3">
        <v>1</v>
      </c>
      <c r="N32" s="35">
        <v>44481</v>
      </c>
      <c r="O32" s="4"/>
      <c r="P32" s="5" t="b">
        <v>0</v>
      </c>
      <c r="Q32" s="36">
        <f>E32</f>
        <v>31</v>
      </c>
      <c r="R32" s="36">
        <v>1</v>
      </c>
      <c r="S32" s="3"/>
      <c r="T32" s="39"/>
      <c r="V32"/>
      <c r="W32"/>
      <c r="X32"/>
      <c r="Y32" s="89"/>
    </row>
    <row r="33" spans="1:25" hidden="1" x14ac:dyDescent="0.35">
      <c r="A33" s="3" t="str">
        <f t="shared" si="0"/>
        <v>Sto_WW_OT</v>
      </c>
      <c r="B33" s="3">
        <v>8</v>
      </c>
      <c r="C33" s="3">
        <v>4</v>
      </c>
      <c r="D33" s="3" t="s">
        <v>17</v>
      </c>
      <c r="E33" s="3">
        <v>31</v>
      </c>
      <c r="F33" s="3" t="s">
        <v>44</v>
      </c>
      <c r="G33" s="3" t="s">
        <v>19</v>
      </c>
      <c r="H33" s="3" t="s">
        <v>20</v>
      </c>
      <c r="I33" s="3" t="s">
        <v>21</v>
      </c>
      <c r="J33" s="3" t="s">
        <v>28</v>
      </c>
      <c r="K33" s="3" t="s">
        <v>27</v>
      </c>
      <c r="L33" s="3">
        <v>2</v>
      </c>
      <c r="M33" s="3">
        <v>1</v>
      </c>
      <c r="N33" s="4">
        <v>44481</v>
      </c>
      <c r="O33" s="4"/>
      <c r="P33" s="5" t="b">
        <v>1</v>
      </c>
      <c r="Q33" s="7">
        <v>32</v>
      </c>
      <c r="R33" s="7"/>
      <c r="S33" s="3"/>
      <c r="T33" s="3"/>
      <c r="V33"/>
      <c r="W33"/>
      <c r="X33"/>
      <c r="Y33" s="89"/>
    </row>
    <row r="34" spans="1:25" hidden="1" x14ac:dyDescent="0.35">
      <c r="A34" s="3" t="str">
        <f t="shared" si="0"/>
        <v>Wen_WW_OT</v>
      </c>
      <c r="B34" s="3">
        <v>4</v>
      </c>
      <c r="C34" s="3">
        <v>5</v>
      </c>
      <c r="D34" s="3" t="s">
        <v>117</v>
      </c>
      <c r="E34" s="34">
        <v>1007</v>
      </c>
      <c r="F34" s="3" t="s">
        <v>125</v>
      </c>
      <c r="G34" s="34" t="s">
        <v>19</v>
      </c>
      <c r="H34" s="34" t="s">
        <v>20</v>
      </c>
      <c r="I34" s="34" t="s">
        <v>25</v>
      </c>
      <c r="J34" s="34" t="s">
        <v>22</v>
      </c>
      <c r="K34" s="34" t="s">
        <v>23</v>
      </c>
      <c r="L34" s="34">
        <v>1</v>
      </c>
      <c r="M34" s="34">
        <v>1</v>
      </c>
      <c r="N34" s="35">
        <v>44466</v>
      </c>
      <c r="O34" s="35"/>
      <c r="P34" s="32" t="b">
        <f>ISEVEN(Q34)</f>
        <v>1</v>
      </c>
      <c r="Q34" s="36">
        <v>1008</v>
      </c>
      <c r="R34" s="36"/>
      <c r="S34" s="34"/>
      <c r="T34" s="39"/>
      <c r="U34" s="86"/>
      <c r="V34" s="89"/>
      <c r="W34" s="89"/>
      <c r="X34" s="89"/>
      <c r="Y34" s="89"/>
    </row>
    <row r="35" spans="1:25" hidden="1" x14ac:dyDescent="0.35">
      <c r="A35" s="3" t="str">
        <f t="shared" si="0"/>
        <v>Wen_WS_OT</v>
      </c>
      <c r="B35" s="3">
        <v>9</v>
      </c>
      <c r="C35" s="3">
        <v>4</v>
      </c>
      <c r="D35" s="3" t="s">
        <v>17</v>
      </c>
      <c r="E35" s="3">
        <v>33</v>
      </c>
      <c r="F35" s="3" t="s">
        <v>45</v>
      </c>
      <c r="G35" s="3" t="s">
        <v>19</v>
      </c>
      <c r="H35" s="3" t="s">
        <v>39</v>
      </c>
      <c r="I35" s="3" t="s">
        <v>25</v>
      </c>
      <c r="J35" s="3" t="s">
        <v>35</v>
      </c>
      <c r="K35" s="3" t="s">
        <v>23</v>
      </c>
      <c r="L35" s="3">
        <v>2</v>
      </c>
      <c r="M35" s="3">
        <v>2</v>
      </c>
      <c r="N35" s="4">
        <v>44481</v>
      </c>
      <c r="O35" s="54">
        <v>0.47222222222222227</v>
      </c>
      <c r="P35" s="5" t="b">
        <v>1</v>
      </c>
      <c r="Q35" s="7">
        <v>34</v>
      </c>
      <c r="R35" s="7"/>
      <c r="S35" s="3"/>
      <c r="T35" s="3"/>
      <c r="V35"/>
      <c r="W35"/>
      <c r="X35"/>
      <c r="Y35" s="89"/>
    </row>
    <row r="36" spans="1:25" x14ac:dyDescent="0.35">
      <c r="A36" s="3" t="str">
        <f t="shared" si="0"/>
        <v>Wen_WW_OT</v>
      </c>
      <c r="B36" s="3">
        <v>10</v>
      </c>
      <c r="C36" s="3">
        <v>4</v>
      </c>
      <c r="D36" s="3" t="s">
        <v>17</v>
      </c>
      <c r="E36" s="3">
        <v>35</v>
      </c>
      <c r="F36" s="3" t="s">
        <v>46</v>
      </c>
      <c r="G36" s="34" t="s">
        <v>19</v>
      </c>
      <c r="H36" s="34" t="s">
        <v>20</v>
      </c>
      <c r="I36" s="34" t="s">
        <v>25</v>
      </c>
      <c r="J36" s="34" t="s">
        <v>26</v>
      </c>
      <c r="K36" s="34" t="s">
        <v>27</v>
      </c>
      <c r="L36" s="34">
        <v>2</v>
      </c>
      <c r="M36" s="3">
        <v>1</v>
      </c>
      <c r="N36" s="35">
        <v>44481</v>
      </c>
      <c r="O36" s="4"/>
      <c r="P36" s="5" t="b">
        <v>0</v>
      </c>
      <c r="Q36" s="36">
        <f>E36</f>
        <v>35</v>
      </c>
      <c r="R36" s="36">
        <v>1</v>
      </c>
      <c r="S36" s="3"/>
      <c r="T36" s="39"/>
      <c r="V36"/>
      <c r="W36"/>
      <c r="X36"/>
      <c r="Y36" s="89"/>
    </row>
    <row r="37" spans="1:25" hidden="1" x14ac:dyDescent="0.35">
      <c r="A37" s="3" t="str">
        <f t="shared" si="0"/>
        <v>Wen_WW_OT</v>
      </c>
      <c r="B37" s="3">
        <v>10</v>
      </c>
      <c r="C37" s="3">
        <v>4</v>
      </c>
      <c r="D37" s="3" t="s">
        <v>17</v>
      </c>
      <c r="E37" s="3">
        <v>35</v>
      </c>
      <c r="F37" s="3" t="s">
        <v>46</v>
      </c>
      <c r="G37" s="3" t="s">
        <v>19</v>
      </c>
      <c r="H37" s="3" t="s">
        <v>20</v>
      </c>
      <c r="I37" s="3" t="s">
        <v>25</v>
      </c>
      <c r="J37" s="3" t="s">
        <v>28</v>
      </c>
      <c r="K37" s="3" t="s">
        <v>27</v>
      </c>
      <c r="L37" s="3">
        <v>2</v>
      </c>
      <c r="M37" s="3">
        <v>1</v>
      </c>
      <c r="N37" s="4">
        <v>44481</v>
      </c>
      <c r="O37" s="4"/>
      <c r="P37" s="5" t="b">
        <v>1</v>
      </c>
      <c r="Q37" s="7">
        <v>36</v>
      </c>
      <c r="R37" s="7"/>
      <c r="S37" s="3"/>
      <c r="T37" s="3"/>
      <c r="V37"/>
      <c r="W37"/>
      <c r="X37"/>
      <c r="Y37" s="89"/>
    </row>
    <row r="38" spans="1:25" hidden="1" x14ac:dyDescent="0.35">
      <c r="A38" s="3" t="str">
        <f t="shared" si="0"/>
        <v>Wen_WW_OT</v>
      </c>
      <c r="B38" s="3">
        <v>6</v>
      </c>
      <c r="C38" s="3">
        <v>5</v>
      </c>
      <c r="D38" s="3" t="s">
        <v>117</v>
      </c>
      <c r="E38" s="34">
        <v>1011</v>
      </c>
      <c r="F38" s="3" t="s">
        <v>127</v>
      </c>
      <c r="G38" s="34" t="s">
        <v>19</v>
      </c>
      <c r="H38" s="34" t="s">
        <v>20</v>
      </c>
      <c r="I38" s="34" t="s">
        <v>25</v>
      </c>
      <c r="J38" s="34" t="s">
        <v>22</v>
      </c>
      <c r="K38" s="34" t="s">
        <v>23</v>
      </c>
      <c r="L38" s="34">
        <v>1</v>
      </c>
      <c r="M38" s="34">
        <v>2</v>
      </c>
      <c r="N38" s="35">
        <v>44466</v>
      </c>
      <c r="O38" s="35"/>
      <c r="P38" s="32" t="b">
        <f>ISEVEN(Q38)</f>
        <v>0</v>
      </c>
      <c r="Q38" s="36">
        <f>E38</f>
        <v>1011</v>
      </c>
      <c r="R38" s="36"/>
      <c r="S38" s="34"/>
      <c r="T38" s="39"/>
      <c r="U38" s="86"/>
      <c r="V38" s="89"/>
      <c r="W38" s="89"/>
      <c r="X38" s="89"/>
      <c r="Y38" s="89"/>
    </row>
    <row r="39" spans="1:25" hidden="1" x14ac:dyDescent="0.35">
      <c r="A39" s="3" t="str">
        <f t="shared" si="0"/>
        <v>Sto_WS_OT</v>
      </c>
      <c r="B39" s="3">
        <v>11</v>
      </c>
      <c r="C39" s="3">
        <v>4</v>
      </c>
      <c r="D39" s="3" t="s">
        <v>17</v>
      </c>
      <c r="E39" s="3">
        <v>37</v>
      </c>
      <c r="F39" s="3" t="s">
        <v>47</v>
      </c>
      <c r="G39" s="3" t="s">
        <v>19</v>
      </c>
      <c r="H39" s="3" t="s">
        <v>39</v>
      </c>
      <c r="I39" s="3" t="s">
        <v>21</v>
      </c>
      <c r="J39" s="3" t="s">
        <v>35</v>
      </c>
      <c r="K39" s="3" t="s">
        <v>23</v>
      </c>
      <c r="L39" s="3">
        <v>2</v>
      </c>
      <c r="M39" s="3">
        <v>2</v>
      </c>
      <c r="N39" s="4">
        <v>44481</v>
      </c>
      <c r="O39" s="54">
        <v>0.47222222222222227</v>
      </c>
      <c r="P39" s="5" t="b">
        <v>1</v>
      </c>
      <c r="Q39" s="7">
        <v>38</v>
      </c>
      <c r="R39" s="7"/>
      <c r="S39" s="3"/>
      <c r="T39" s="3"/>
      <c r="V39"/>
      <c r="W39"/>
      <c r="X39"/>
      <c r="Y39" s="89"/>
    </row>
    <row r="40" spans="1:25" hidden="1" x14ac:dyDescent="0.35">
      <c r="A40" s="3" t="str">
        <f t="shared" si="0"/>
        <v>Wen_WW_OT</v>
      </c>
      <c r="B40" s="3">
        <v>6</v>
      </c>
      <c r="C40" s="3">
        <v>5</v>
      </c>
      <c r="D40" s="3" t="s">
        <v>117</v>
      </c>
      <c r="E40" s="34">
        <v>1011</v>
      </c>
      <c r="F40" s="3" t="s">
        <v>127</v>
      </c>
      <c r="G40" s="34" t="s">
        <v>19</v>
      </c>
      <c r="H40" s="34" t="s">
        <v>20</v>
      </c>
      <c r="I40" s="34" t="s">
        <v>25</v>
      </c>
      <c r="J40" s="34" t="s">
        <v>22</v>
      </c>
      <c r="K40" s="34" t="s">
        <v>23</v>
      </c>
      <c r="L40" s="34">
        <v>1</v>
      </c>
      <c r="M40" s="34">
        <v>2</v>
      </c>
      <c r="N40" s="35">
        <v>44466</v>
      </c>
      <c r="O40" s="35"/>
      <c r="P40" s="32" t="b">
        <f>ISEVEN(Q40)</f>
        <v>1</v>
      </c>
      <c r="Q40" s="36">
        <v>1012</v>
      </c>
      <c r="R40" s="36"/>
      <c r="S40" s="34"/>
      <c r="T40" s="39"/>
      <c r="U40" s="86"/>
      <c r="V40" s="89"/>
      <c r="W40" s="89"/>
      <c r="X40" s="89"/>
      <c r="Y40" s="89"/>
    </row>
    <row r="41" spans="1:25" hidden="1" x14ac:dyDescent="0.35">
      <c r="A41" s="3" t="str">
        <f t="shared" si="0"/>
        <v>Sto_WW_OT</v>
      </c>
      <c r="B41" s="3">
        <v>12</v>
      </c>
      <c r="C41" s="3">
        <v>4</v>
      </c>
      <c r="D41" s="3" t="s">
        <v>17</v>
      </c>
      <c r="E41" s="3">
        <v>39</v>
      </c>
      <c r="F41" s="3" t="s">
        <v>48</v>
      </c>
      <c r="G41" s="3" t="s">
        <v>19</v>
      </c>
      <c r="H41" s="3" t="s">
        <v>20</v>
      </c>
      <c r="I41" s="3" t="s">
        <v>21</v>
      </c>
      <c r="J41" s="3" t="s">
        <v>35</v>
      </c>
      <c r="K41" s="3" t="s">
        <v>23</v>
      </c>
      <c r="L41" s="3">
        <v>2</v>
      </c>
      <c r="M41" s="3">
        <v>3</v>
      </c>
      <c r="N41" s="4">
        <v>44481</v>
      </c>
      <c r="O41" s="54">
        <v>0.47222222222222227</v>
      </c>
      <c r="P41" s="5" t="b">
        <v>1</v>
      </c>
      <c r="Q41" s="7">
        <v>40</v>
      </c>
      <c r="R41" s="7"/>
      <c r="S41" s="3"/>
      <c r="T41" s="3"/>
      <c r="V41"/>
      <c r="W41"/>
      <c r="X41"/>
      <c r="Y41" s="89"/>
    </row>
    <row r="42" spans="1:25" hidden="1" x14ac:dyDescent="0.35">
      <c r="A42" s="3" t="str">
        <f t="shared" si="0"/>
        <v>Sto_WW_OT</v>
      </c>
      <c r="B42" s="3">
        <v>7</v>
      </c>
      <c r="C42" s="3">
        <v>5</v>
      </c>
      <c r="D42" s="3" t="s">
        <v>117</v>
      </c>
      <c r="E42" s="34">
        <v>1013</v>
      </c>
      <c r="F42" s="3" t="s">
        <v>128</v>
      </c>
      <c r="G42" s="34" t="s">
        <v>19</v>
      </c>
      <c r="H42" s="34" t="s">
        <v>20</v>
      </c>
      <c r="I42" s="34" t="s">
        <v>21</v>
      </c>
      <c r="J42" s="34" t="s">
        <v>22</v>
      </c>
      <c r="K42" s="34" t="s">
        <v>23</v>
      </c>
      <c r="L42" s="34">
        <v>1</v>
      </c>
      <c r="M42" s="34">
        <v>2</v>
      </c>
      <c r="N42" s="35">
        <v>44466</v>
      </c>
      <c r="O42" s="35"/>
      <c r="P42" s="32" t="b">
        <f>ISEVEN(Q42)</f>
        <v>0</v>
      </c>
      <c r="Q42" s="36">
        <f>E42</f>
        <v>1013</v>
      </c>
      <c r="R42" s="36"/>
      <c r="S42" s="34"/>
      <c r="T42" s="39"/>
      <c r="U42" s="86"/>
      <c r="V42" s="89"/>
      <c r="W42" s="89"/>
      <c r="X42" s="89"/>
      <c r="Y42" s="89"/>
    </row>
    <row r="43" spans="1:25" hidden="1" x14ac:dyDescent="0.35">
      <c r="A43" s="3" t="str">
        <f t="shared" si="0"/>
        <v>Sto_WS_OT</v>
      </c>
      <c r="B43" s="3">
        <v>13</v>
      </c>
      <c r="C43" s="3">
        <v>4</v>
      </c>
      <c r="D43" s="3" t="s">
        <v>17</v>
      </c>
      <c r="E43" s="3">
        <v>41</v>
      </c>
      <c r="F43" s="3" t="s">
        <v>49</v>
      </c>
      <c r="G43" s="3" t="s">
        <v>19</v>
      </c>
      <c r="H43" s="3" t="s">
        <v>39</v>
      </c>
      <c r="I43" s="3" t="s">
        <v>21</v>
      </c>
      <c r="J43" s="3" t="s">
        <v>35</v>
      </c>
      <c r="K43" s="3" t="s">
        <v>23</v>
      </c>
      <c r="L43" s="3">
        <v>2</v>
      </c>
      <c r="M43" s="3">
        <v>3</v>
      </c>
      <c r="N43" s="4">
        <v>44481</v>
      </c>
      <c r="O43" s="54">
        <v>0.47222222222222227</v>
      </c>
      <c r="P43" s="5" t="b">
        <v>1</v>
      </c>
      <c r="Q43" s="7">
        <v>42</v>
      </c>
      <c r="R43" s="7"/>
      <c r="S43" s="3"/>
      <c r="T43" s="3"/>
      <c r="V43"/>
      <c r="W43"/>
      <c r="X43"/>
      <c r="Y43" s="89"/>
    </row>
    <row r="44" spans="1:25" x14ac:dyDescent="0.35">
      <c r="A44" s="3" t="str">
        <f t="shared" si="0"/>
        <v>Wen_WW_OT</v>
      </c>
      <c r="B44" s="3">
        <v>14</v>
      </c>
      <c r="C44" s="3">
        <v>4</v>
      </c>
      <c r="D44" s="3" t="s">
        <v>17</v>
      </c>
      <c r="E44" s="3">
        <v>43</v>
      </c>
      <c r="F44" s="3" t="s">
        <v>50</v>
      </c>
      <c r="G44" s="34" t="s">
        <v>19</v>
      </c>
      <c r="H44" s="34" t="s">
        <v>20</v>
      </c>
      <c r="I44" s="34" t="s">
        <v>25</v>
      </c>
      <c r="J44" s="34" t="s">
        <v>26</v>
      </c>
      <c r="K44" s="34" t="s">
        <v>23</v>
      </c>
      <c r="L44" s="34">
        <v>2</v>
      </c>
      <c r="M44" s="3">
        <v>3</v>
      </c>
      <c r="N44" s="35">
        <v>44483</v>
      </c>
      <c r="O44" s="4"/>
      <c r="P44" s="5" t="b">
        <v>0</v>
      </c>
      <c r="Q44" s="36">
        <f>E44</f>
        <v>43</v>
      </c>
      <c r="R44" s="36">
        <v>1</v>
      </c>
      <c r="S44" s="3" t="s">
        <v>51</v>
      </c>
      <c r="T44" s="39" t="s">
        <v>209</v>
      </c>
      <c r="V44"/>
      <c r="W44"/>
      <c r="X44"/>
      <c r="Y44" s="89"/>
    </row>
    <row r="45" spans="1:25" hidden="1" x14ac:dyDescent="0.35">
      <c r="A45" s="3" t="str">
        <f t="shared" si="0"/>
        <v>Wen_WW_OT</v>
      </c>
      <c r="B45" s="3">
        <v>14</v>
      </c>
      <c r="C45" s="3">
        <v>4</v>
      </c>
      <c r="D45" s="3" t="s">
        <v>17</v>
      </c>
      <c r="E45" s="34">
        <v>43</v>
      </c>
      <c r="F45" s="3" t="s">
        <v>50</v>
      </c>
      <c r="G45" s="98" t="s">
        <v>19</v>
      </c>
      <c r="H45" s="98" t="s">
        <v>20</v>
      </c>
      <c r="I45" s="98" t="s">
        <v>25</v>
      </c>
      <c r="J45" s="98"/>
      <c r="K45" s="98" t="s">
        <v>23</v>
      </c>
      <c r="L45" s="98"/>
      <c r="M45" s="34">
        <v>3</v>
      </c>
      <c r="N45" s="99"/>
      <c r="O45" s="35"/>
      <c r="P45" s="32" t="b">
        <v>1</v>
      </c>
      <c r="Q45" s="100">
        <v>44</v>
      </c>
      <c r="R45" s="100"/>
      <c r="S45" s="34" t="s">
        <v>52</v>
      </c>
      <c r="T45" s="101" t="s">
        <v>218</v>
      </c>
      <c r="U45" s="86" t="s">
        <v>302</v>
      </c>
      <c r="V45" s="89"/>
      <c r="W45" s="89"/>
      <c r="X45" s="89"/>
      <c r="Y45" s="89" t="s">
        <v>302</v>
      </c>
    </row>
    <row r="46" spans="1:25" ht="43.5" hidden="1" x14ac:dyDescent="0.35">
      <c r="A46" s="3" t="str">
        <f t="shared" si="0"/>
        <v>Sto_WS_OT</v>
      </c>
      <c r="B46" s="3">
        <v>15</v>
      </c>
      <c r="C46" s="3">
        <v>4</v>
      </c>
      <c r="D46" s="3" t="s">
        <v>17</v>
      </c>
      <c r="E46" s="34">
        <v>45</v>
      </c>
      <c r="F46" s="3" t="s">
        <v>53</v>
      </c>
      <c r="G46" s="34" t="s">
        <v>19</v>
      </c>
      <c r="H46" s="34" t="s">
        <v>39</v>
      </c>
      <c r="I46" s="34" t="s">
        <v>21</v>
      </c>
      <c r="J46" s="34"/>
      <c r="K46" s="34"/>
      <c r="L46" s="34"/>
      <c r="M46" s="34">
        <v>1</v>
      </c>
      <c r="N46" s="35"/>
      <c r="O46" s="35"/>
      <c r="P46" s="32" t="b">
        <v>0</v>
      </c>
      <c r="Q46" s="36">
        <f>E46</f>
        <v>45</v>
      </c>
      <c r="R46" s="36"/>
      <c r="S46" s="34" t="s">
        <v>54</v>
      </c>
      <c r="T46" s="39" t="s">
        <v>277</v>
      </c>
      <c r="U46" s="86"/>
      <c r="V46" s="89"/>
      <c r="W46" s="89"/>
      <c r="X46" s="89"/>
      <c r="Y46" s="89" t="s">
        <v>302</v>
      </c>
    </row>
    <row r="47" spans="1:25" hidden="1" x14ac:dyDescent="0.35">
      <c r="A47" s="3" t="str">
        <f t="shared" si="0"/>
        <v>Sto_WS_OT</v>
      </c>
      <c r="B47" s="3">
        <v>15</v>
      </c>
      <c r="C47" s="3">
        <v>4</v>
      </c>
      <c r="D47" s="3" t="s">
        <v>17</v>
      </c>
      <c r="E47" s="3">
        <v>45</v>
      </c>
      <c r="F47" s="3" t="s">
        <v>53</v>
      </c>
      <c r="G47" s="3" t="s">
        <v>19</v>
      </c>
      <c r="H47" s="3" t="s">
        <v>39</v>
      </c>
      <c r="I47" s="3" t="s">
        <v>21</v>
      </c>
      <c r="J47" s="3" t="s">
        <v>35</v>
      </c>
      <c r="K47" s="3"/>
      <c r="L47" s="3">
        <v>2</v>
      </c>
      <c r="M47" s="3">
        <v>1</v>
      </c>
      <c r="N47" s="4">
        <v>44483</v>
      </c>
      <c r="O47" s="54">
        <v>0.72916666666666663</v>
      </c>
      <c r="P47" s="5" t="b">
        <v>1</v>
      </c>
      <c r="Q47" s="7">
        <v>46</v>
      </c>
      <c r="R47" s="7"/>
      <c r="S47" s="3" t="s">
        <v>55</v>
      </c>
      <c r="T47" s="3" t="s">
        <v>276</v>
      </c>
      <c r="V47"/>
      <c r="W47"/>
      <c r="X47"/>
      <c r="Y47" s="89"/>
    </row>
    <row r="48" spans="1:25" hidden="1" x14ac:dyDescent="0.35">
      <c r="A48" s="3" t="str">
        <f t="shared" si="0"/>
        <v>Sto_WW_OT</v>
      </c>
      <c r="B48" s="3">
        <v>7</v>
      </c>
      <c r="C48" s="3">
        <v>5</v>
      </c>
      <c r="D48" s="3" t="s">
        <v>117</v>
      </c>
      <c r="E48" s="34">
        <v>1013</v>
      </c>
      <c r="F48" s="3" t="s">
        <v>128</v>
      </c>
      <c r="G48" s="34" t="s">
        <v>19</v>
      </c>
      <c r="H48" s="34" t="s">
        <v>20</v>
      </c>
      <c r="I48" s="34" t="s">
        <v>21</v>
      </c>
      <c r="J48" s="34" t="s">
        <v>22</v>
      </c>
      <c r="K48" s="34" t="s">
        <v>23</v>
      </c>
      <c r="L48" s="34">
        <v>1</v>
      </c>
      <c r="M48" s="34">
        <v>2</v>
      </c>
      <c r="N48" s="35">
        <v>44466</v>
      </c>
      <c r="O48" s="87"/>
      <c r="P48" s="32" t="b">
        <f>ISEVEN(Q48)</f>
        <v>1</v>
      </c>
      <c r="Q48" s="36">
        <v>1014</v>
      </c>
      <c r="R48" s="36"/>
      <c r="S48" s="34"/>
      <c r="T48" s="39"/>
      <c r="U48" s="86"/>
      <c r="V48" s="89"/>
      <c r="W48" s="89"/>
      <c r="X48" s="89"/>
      <c r="Y48" s="89"/>
    </row>
    <row r="49" spans="1:25" hidden="1" x14ac:dyDescent="0.35">
      <c r="A49" s="3" t="str">
        <f t="shared" si="0"/>
        <v>Wen_WS_OT</v>
      </c>
      <c r="B49" s="3">
        <v>16</v>
      </c>
      <c r="C49" s="3">
        <v>4</v>
      </c>
      <c r="D49" s="3" t="s">
        <v>17</v>
      </c>
      <c r="E49" s="3">
        <v>47</v>
      </c>
      <c r="F49" s="3" t="s">
        <v>56</v>
      </c>
      <c r="G49" s="3" t="s">
        <v>19</v>
      </c>
      <c r="H49" s="3" t="s">
        <v>39</v>
      </c>
      <c r="I49" s="3" t="s">
        <v>25</v>
      </c>
      <c r="J49" s="3" t="s">
        <v>35</v>
      </c>
      <c r="K49" s="3" t="s">
        <v>23</v>
      </c>
      <c r="L49" s="3">
        <v>2</v>
      </c>
      <c r="M49" s="3">
        <v>3</v>
      </c>
      <c r="N49" s="4">
        <v>44482</v>
      </c>
      <c r="O49" s="54">
        <v>0.38541666666666669</v>
      </c>
      <c r="P49" s="5" t="b">
        <v>1</v>
      </c>
      <c r="Q49" s="7">
        <v>48</v>
      </c>
      <c r="R49" s="7"/>
      <c r="S49" s="3"/>
      <c r="T49" s="3"/>
      <c r="V49"/>
      <c r="W49"/>
      <c r="X49"/>
      <c r="Y49" s="89"/>
    </row>
    <row r="50" spans="1:25" x14ac:dyDescent="0.35">
      <c r="A50" s="3" t="str">
        <f t="shared" si="0"/>
        <v>Sto_WS_OT</v>
      </c>
      <c r="B50" s="3">
        <v>17</v>
      </c>
      <c r="C50" s="3">
        <v>4</v>
      </c>
      <c r="D50" s="3" t="s">
        <v>17</v>
      </c>
      <c r="E50" s="3">
        <v>49</v>
      </c>
      <c r="F50" s="3" t="s">
        <v>57</v>
      </c>
      <c r="G50" s="34" t="s">
        <v>19</v>
      </c>
      <c r="H50" s="34" t="s">
        <v>39</v>
      </c>
      <c r="I50" s="34" t="s">
        <v>21</v>
      </c>
      <c r="J50" s="34" t="s">
        <v>26</v>
      </c>
      <c r="K50" s="34" t="s">
        <v>23</v>
      </c>
      <c r="L50" s="34">
        <v>2</v>
      </c>
      <c r="M50" s="3"/>
      <c r="N50" s="35">
        <v>44481</v>
      </c>
      <c r="O50" s="4"/>
      <c r="P50" s="5" t="b">
        <v>0</v>
      </c>
      <c r="Q50" s="36">
        <f>E50</f>
        <v>49</v>
      </c>
      <c r="R50" s="36">
        <v>1</v>
      </c>
      <c r="S50" s="3"/>
      <c r="T50" s="39"/>
      <c r="V50"/>
      <c r="W50"/>
      <c r="X50"/>
      <c r="Y50" s="89"/>
    </row>
    <row r="51" spans="1:25" hidden="1" x14ac:dyDescent="0.35">
      <c r="A51" s="3" t="str">
        <f t="shared" si="0"/>
        <v>Sto_WS_OT</v>
      </c>
      <c r="B51" s="3">
        <v>17</v>
      </c>
      <c r="C51" s="3">
        <v>4</v>
      </c>
      <c r="D51" s="3" t="s">
        <v>17</v>
      </c>
      <c r="E51" s="3">
        <v>49</v>
      </c>
      <c r="F51" s="3" t="s">
        <v>57</v>
      </c>
      <c r="G51" s="3" t="s">
        <v>19</v>
      </c>
      <c r="H51" s="3" t="s">
        <v>39</v>
      </c>
      <c r="I51" s="3" t="s">
        <v>21</v>
      </c>
      <c r="J51" s="3" t="s">
        <v>28</v>
      </c>
      <c r="K51" s="3" t="s">
        <v>23</v>
      </c>
      <c r="L51" s="3">
        <v>2</v>
      </c>
      <c r="M51" s="3"/>
      <c r="N51" s="4">
        <v>44481</v>
      </c>
      <c r="O51" s="4"/>
      <c r="P51" s="5" t="b">
        <v>1</v>
      </c>
      <c r="Q51" s="7">
        <v>50</v>
      </c>
      <c r="R51" s="7"/>
      <c r="S51" s="3"/>
      <c r="T51" s="3"/>
      <c r="V51"/>
      <c r="W51"/>
      <c r="X51"/>
      <c r="Y51" s="89"/>
    </row>
    <row r="52" spans="1:25" hidden="1" x14ac:dyDescent="0.35">
      <c r="A52" s="3" t="str">
        <f t="shared" si="0"/>
        <v>Wen_WS_OT</v>
      </c>
      <c r="B52" s="3">
        <v>18</v>
      </c>
      <c r="C52" s="3">
        <v>4</v>
      </c>
      <c r="D52" s="3" t="s">
        <v>17</v>
      </c>
      <c r="E52" s="3">
        <v>51</v>
      </c>
      <c r="F52" s="3" t="s">
        <v>58</v>
      </c>
      <c r="G52" s="3" t="s">
        <v>19</v>
      </c>
      <c r="H52" s="3" t="s">
        <v>39</v>
      </c>
      <c r="I52" s="3" t="s">
        <v>25</v>
      </c>
      <c r="J52" s="3" t="s">
        <v>28</v>
      </c>
      <c r="K52" s="3"/>
      <c r="L52" s="3">
        <v>2</v>
      </c>
      <c r="M52" s="3"/>
      <c r="N52" s="4">
        <v>44483</v>
      </c>
      <c r="O52" s="54"/>
      <c r="P52" s="5" t="b">
        <v>0</v>
      </c>
      <c r="Q52" s="7">
        <f>E52</f>
        <v>51</v>
      </c>
      <c r="R52" s="7"/>
      <c r="S52" s="3"/>
      <c r="T52" s="3"/>
      <c r="V52"/>
      <c r="W52"/>
      <c r="X52"/>
      <c r="Y52" s="89"/>
    </row>
    <row r="53" spans="1:25" hidden="1" x14ac:dyDescent="0.35">
      <c r="A53" s="3" t="str">
        <f t="shared" si="0"/>
        <v>Wen_WS_OT</v>
      </c>
      <c r="B53" s="3">
        <v>18</v>
      </c>
      <c r="C53" s="3">
        <v>4</v>
      </c>
      <c r="D53" s="3" t="s">
        <v>17</v>
      </c>
      <c r="E53" s="3">
        <v>51</v>
      </c>
      <c r="F53" s="3" t="s">
        <v>58</v>
      </c>
      <c r="G53" s="3" t="s">
        <v>19</v>
      </c>
      <c r="H53" s="3" t="s">
        <v>39</v>
      </c>
      <c r="I53" s="3" t="s">
        <v>25</v>
      </c>
      <c r="J53" s="3" t="s">
        <v>28</v>
      </c>
      <c r="K53" s="3" t="s">
        <v>59</v>
      </c>
      <c r="L53" s="3">
        <v>2</v>
      </c>
      <c r="M53" s="3"/>
      <c r="N53" s="4">
        <v>44483</v>
      </c>
      <c r="O53" s="4"/>
      <c r="P53" s="5" t="b">
        <v>1</v>
      </c>
      <c r="Q53" s="7">
        <v>52</v>
      </c>
      <c r="R53" s="7"/>
      <c r="S53" s="3"/>
      <c r="T53" s="3"/>
      <c r="V53"/>
      <c r="W53"/>
      <c r="X53"/>
      <c r="Y53" s="89"/>
    </row>
    <row r="54" spans="1:25" hidden="1" x14ac:dyDescent="0.35">
      <c r="A54" s="3" t="str">
        <f t="shared" si="0"/>
        <v>Sto_WW_OT</v>
      </c>
      <c r="B54" s="3">
        <v>17</v>
      </c>
      <c r="C54" s="3">
        <v>2</v>
      </c>
      <c r="D54" s="3" t="s">
        <v>117</v>
      </c>
      <c r="E54" s="34">
        <v>1135</v>
      </c>
      <c r="F54" s="3" t="s">
        <v>202</v>
      </c>
      <c r="G54" s="34" t="s">
        <v>19</v>
      </c>
      <c r="H54" s="34" t="s">
        <v>20</v>
      </c>
      <c r="I54" s="34" t="s">
        <v>21</v>
      </c>
      <c r="J54" s="34" t="s">
        <v>22</v>
      </c>
      <c r="K54" s="34" t="s">
        <v>23</v>
      </c>
      <c r="L54" s="34">
        <v>1</v>
      </c>
      <c r="M54" s="34">
        <v>3</v>
      </c>
      <c r="N54" s="35">
        <v>44466</v>
      </c>
      <c r="O54" s="35"/>
      <c r="P54" s="32" t="b">
        <f>ISEVEN(Q54)</f>
        <v>0</v>
      </c>
      <c r="Q54" s="36">
        <f>E54</f>
        <v>1135</v>
      </c>
      <c r="R54" s="36"/>
      <c r="S54" s="34"/>
      <c r="T54" s="39"/>
      <c r="U54" s="86"/>
      <c r="V54" s="89"/>
      <c r="W54" s="89"/>
      <c r="X54" s="89"/>
      <c r="Y54" s="89"/>
    </row>
    <row r="55" spans="1:25" hidden="1" x14ac:dyDescent="0.35">
      <c r="A55" s="3" t="str">
        <f t="shared" si="0"/>
        <v>Sto_WW_OT</v>
      </c>
      <c r="B55" s="3">
        <v>19</v>
      </c>
      <c r="C55" s="3">
        <v>4</v>
      </c>
      <c r="D55" s="3" t="s">
        <v>17</v>
      </c>
      <c r="E55" s="3">
        <v>53</v>
      </c>
      <c r="F55" s="3" t="s">
        <v>60</v>
      </c>
      <c r="G55" s="3" t="s">
        <v>19</v>
      </c>
      <c r="H55" s="3" t="s">
        <v>20</v>
      </c>
      <c r="I55" s="3" t="s">
        <v>21</v>
      </c>
      <c r="J55" s="3" t="s">
        <v>35</v>
      </c>
      <c r="K55" s="3" t="s">
        <v>23</v>
      </c>
      <c r="L55" s="3">
        <v>2</v>
      </c>
      <c r="M55" s="3"/>
      <c r="N55" s="4">
        <v>44482</v>
      </c>
      <c r="O55" s="54">
        <v>0.38541666666666669</v>
      </c>
      <c r="P55" s="5" t="b">
        <v>1</v>
      </c>
      <c r="Q55" s="7">
        <v>54</v>
      </c>
      <c r="R55" s="7"/>
      <c r="S55" s="3"/>
      <c r="T55" s="3"/>
      <c r="V55"/>
      <c r="W55"/>
      <c r="X55"/>
      <c r="Y55" s="89"/>
    </row>
    <row r="56" spans="1:25" hidden="1" x14ac:dyDescent="0.35">
      <c r="A56" s="3" t="str">
        <f t="shared" si="0"/>
        <v>Sto_WW_OT</v>
      </c>
      <c r="B56" s="3">
        <v>17</v>
      </c>
      <c r="C56" s="3">
        <v>2</v>
      </c>
      <c r="D56" s="3" t="s">
        <v>117</v>
      </c>
      <c r="E56" s="34">
        <v>1135</v>
      </c>
      <c r="F56" s="3" t="s">
        <v>202</v>
      </c>
      <c r="G56" s="34" t="s">
        <v>19</v>
      </c>
      <c r="H56" s="34" t="s">
        <v>20</v>
      </c>
      <c r="I56" s="34" t="s">
        <v>21</v>
      </c>
      <c r="J56" s="34" t="s">
        <v>22</v>
      </c>
      <c r="K56" s="34" t="s">
        <v>23</v>
      </c>
      <c r="L56" s="34">
        <v>1</v>
      </c>
      <c r="M56" s="34">
        <v>3</v>
      </c>
      <c r="N56" s="35">
        <v>44466</v>
      </c>
      <c r="O56" s="35"/>
      <c r="P56" s="32" t="b">
        <f>ISEVEN(Q56)</f>
        <v>1</v>
      </c>
      <c r="Q56" s="36">
        <v>1136</v>
      </c>
      <c r="R56" s="36"/>
      <c r="S56" s="34"/>
      <c r="T56" s="39"/>
      <c r="U56" s="86"/>
      <c r="V56" s="89"/>
      <c r="W56" s="89"/>
      <c r="X56" s="89"/>
      <c r="Y56" s="89"/>
    </row>
    <row r="57" spans="1:25" hidden="1" x14ac:dyDescent="0.35">
      <c r="A57" s="3" t="str">
        <f t="shared" si="0"/>
        <v>Wen_WW_OT</v>
      </c>
      <c r="B57" s="3">
        <v>20</v>
      </c>
      <c r="C57" s="3">
        <v>4</v>
      </c>
      <c r="D57" s="3" t="s">
        <v>17</v>
      </c>
      <c r="E57" s="3">
        <v>55</v>
      </c>
      <c r="F57" s="3" t="s">
        <v>61</v>
      </c>
      <c r="G57" s="3" t="s">
        <v>19</v>
      </c>
      <c r="H57" s="3" t="s">
        <v>20</v>
      </c>
      <c r="I57" s="3" t="s">
        <v>25</v>
      </c>
      <c r="J57" s="3" t="s">
        <v>35</v>
      </c>
      <c r="K57" s="3" t="s">
        <v>23</v>
      </c>
      <c r="L57" s="3">
        <v>2</v>
      </c>
      <c r="M57" s="3"/>
      <c r="N57" s="4">
        <v>44482</v>
      </c>
      <c r="O57" s="54">
        <v>0.38541666666666669</v>
      </c>
      <c r="P57" s="5" t="b">
        <v>1</v>
      </c>
      <c r="Q57" s="7">
        <v>56</v>
      </c>
      <c r="R57" s="7"/>
      <c r="S57" s="3"/>
      <c r="T57" s="3"/>
      <c r="V57"/>
      <c r="W57"/>
      <c r="X57"/>
      <c r="Y57" s="89"/>
    </row>
    <row r="58" spans="1:25" hidden="1" x14ac:dyDescent="0.35">
      <c r="A58" s="3" t="str">
        <f t="shared" si="0"/>
        <v>Sto_WS_OT</v>
      </c>
      <c r="B58" s="3">
        <v>21</v>
      </c>
      <c r="C58" s="3">
        <v>4</v>
      </c>
      <c r="D58" s="3" t="s">
        <v>17</v>
      </c>
      <c r="E58" s="3">
        <v>57</v>
      </c>
      <c r="F58" s="3" t="s">
        <v>62</v>
      </c>
      <c r="G58" s="3" t="s">
        <v>19</v>
      </c>
      <c r="H58" s="3" t="s">
        <v>39</v>
      </c>
      <c r="I58" s="3" t="s">
        <v>21</v>
      </c>
      <c r="J58" s="3" t="s">
        <v>35</v>
      </c>
      <c r="K58" s="3" t="s">
        <v>59</v>
      </c>
      <c r="L58" s="3">
        <v>2</v>
      </c>
      <c r="M58" s="3"/>
      <c r="N58" s="4">
        <v>44483</v>
      </c>
      <c r="O58" s="54">
        <v>0.72916666666666663</v>
      </c>
      <c r="P58" s="5" t="b">
        <v>0</v>
      </c>
      <c r="Q58" s="7">
        <f>E58</f>
        <v>57</v>
      </c>
      <c r="R58" s="7"/>
      <c r="S58" s="3"/>
      <c r="T58" s="3" t="s">
        <v>275</v>
      </c>
      <c r="V58"/>
      <c r="W58"/>
      <c r="X58"/>
      <c r="Y58" s="89"/>
    </row>
    <row r="59" spans="1:25" hidden="1" x14ac:dyDescent="0.35">
      <c r="A59" s="3" t="str">
        <f t="shared" si="0"/>
        <v>Sto_WS_OT</v>
      </c>
      <c r="B59" s="3">
        <v>21</v>
      </c>
      <c r="C59" s="3">
        <v>4</v>
      </c>
      <c r="D59" s="3" t="s">
        <v>17</v>
      </c>
      <c r="E59" s="3">
        <v>57</v>
      </c>
      <c r="F59" s="3" t="s">
        <v>62</v>
      </c>
      <c r="G59" s="3" t="s">
        <v>19</v>
      </c>
      <c r="H59" s="3" t="s">
        <v>39</v>
      </c>
      <c r="I59" s="3" t="s">
        <v>21</v>
      </c>
      <c r="J59" s="3" t="s">
        <v>35</v>
      </c>
      <c r="K59" s="3" t="s">
        <v>59</v>
      </c>
      <c r="L59" s="3">
        <v>2</v>
      </c>
      <c r="M59" s="3"/>
      <c r="N59" s="4">
        <v>44483</v>
      </c>
      <c r="O59" s="54">
        <v>0.72916666666666663</v>
      </c>
      <c r="P59" s="5" t="b">
        <v>1</v>
      </c>
      <c r="Q59" s="7">
        <v>58</v>
      </c>
      <c r="R59" s="7"/>
      <c r="S59" s="3"/>
      <c r="T59" s="3" t="s">
        <v>235</v>
      </c>
      <c r="V59"/>
      <c r="W59"/>
      <c r="X59"/>
      <c r="Y59" s="89"/>
    </row>
    <row r="60" spans="1:25" x14ac:dyDescent="0.35">
      <c r="A60" s="3" t="str">
        <f t="shared" si="0"/>
        <v>Wen_WS_OT</v>
      </c>
      <c r="B60" s="3">
        <v>22</v>
      </c>
      <c r="C60" s="3">
        <v>4</v>
      </c>
      <c r="D60" s="3" t="s">
        <v>17</v>
      </c>
      <c r="E60" s="3">
        <v>59</v>
      </c>
      <c r="F60" s="3" t="s">
        <v>63</v>
      </c>
      <c r="G60" s="34" t="s">
        <v>19</v>
      </c>
      <c r="H60" s="34" t="s">
        <v>39</v>
      </c>
      <c r="I60" s="34" t="s">
        <v>25</v>
      </c>
      <c r="J60" s="34" t="s">
        <v>26</v>
      </c>
      <c r="K60" s="34" t="s">
        <v>27</v>
      </c>
      <c r="L60" s="34">
        <v>2</v>
      </c>
      <c r="M60" s="3"/>
      <c r="N60" s="35">
        <v>44481</v>
      </c>
      <c r="O60" s="4"/>
      <c r="P60" s="5" t="b">
        <v>0</v>
      </c>
      <c r="Q60" s="36">
        <f>E60</f>
        <v>59</v>
      </c>
      <c r="R60" s="36">
        <v>1</v>
      </c>
      <c r="S60" s="3"/>
      <c r="T60" s="39"/>
      <c r="V60"/>
      <c r="W60"/>
      <c r="X60"/>
      <c r="Y60" s="89"/>
    </row>
    <row r="61" spans="1:25" hidden="1" x14ac:dyDescent="0.35">
      <c r="A61" s="3" t="str">
        <f t="shared" si="0"/>
        <v>Wen_WS_OT</v>
      </c>
      <c r="B61" s="3">
        <v>22</v>
      </c>
      <c r="C61" s="3">
        <v>4</v>
      </c>
      <c r="D61" s="3" t="s">
        <v>17</v>
      </c>
      <c r="E61" s="3">
        <v>59</v>
      </c>
      <c r="F61" s="3" t="s">
        <v>63</v>
      </c>
      <c r="G61" s="3" t="s">
        <v>19</v>
      </c>
      <c r="H61" s="3" t="s">
        <v>39</v>
      </c>
      <c r="I61" s="3" t="s">
        <v>25</v>
      </c>
      <c r="J61" s="3" t="s">
        <v>28</v>
      </c>
      <c r="K61" s="3" t="s">
        <v>64</v>
      </c>
      <c r="L61" s="3">
        <v>2</v>
      </c>
      <c r="M61" s="3"/>
      <c r="N61" s="4">
        <v>44481</v>
      </c>
      <c r="O61" s="4"/>
      <c r="P61" s="5" t="b">
        <v>1</v>
      </c>
      <c r="Q61" s="7">
        <v>60</v>
      </c>
      <c r="R61" s="7"/>
      <c r="S61" s="3"/>
      <c r="T61" s="3"/>
      <c r="V61"/>
      <c r="W61"/>
      <c r="X61"/>
      <c r="Y61" s="89"/>
    </row>
    <row r="62" spans="1:25" hidden="1" x14ac:dyDescent="0.35">
      <c r="A62" s="3" t="str">
        <f t="shared" si="0"/>
        <v>Wen_WW_OT</v>
      </c>
      <c r="B62" s="3">
        <v>20</v>
      </c>
      <c r="C62" s="3">
        <v>2</v>
      </c>
      <c r="D62" s="3" t="s">
        <v>117</v>
      </c>
      <c r="E62" s="34">
        <v>1141</v>
      </c>
      <c r="F62" s="3" t="s">
        <v>205</v>
      </c>
      <c r="G62" s="34" t="s">
        <v>19</v>
      </c>
      <c r="H62" s="34" t="s">
        <v>20</v>
      </c>
      <c r="I62" s="34" t="s">
        <v>25</v>
      </c>
      <c r="J62" s="34" t="s">
        <v>22</v>
      </c>
      <c r="K62" s="34" t="s">
        <v>23</v>
      </c>
      <c r="L62" s="34">
        <v>1</v>
      </c>
      <c r="M62" s="34">
        <v>3</v>
      </c>
      <c r="N62" s="35">
        <v>44466</v>
      </c>
      <c r="O62" s="35"/>
      <c r="P62" s="32" t="b">
        <f>ISEVEN(Q62)</f>
        <v>0</v>
      </c>
      <c r="Q62" s="36">
        <f>E62</f>
        <v>1141</v>
      </c>
      <c r="R62" s="36"/>
      <c r="S62" s="34"/>
      <c r="T62" s="39"/>
      <c r="U62" s="86"/>
      <c r="V62" s="89"/>
      <c r="W62" s="89"/>
      <c r="X62" s="89"/>
      <c r="Y62" s="89"/>
    </row>
    <row r="63" spans="1:25" hidden="1" x14ac:dyDescent="0.35">
      <c r="A63" s="3" t="str">
        <f t="shared" si="0"/>
        <v>Sto_WS_OT</v>
      </c>
      <c r="B63" s="3">
        <v>1</v>
      </c>
      <c r="C63" s="3">
        <v>3</v>
      </c>
      <c r="D63" s="3" t="s">
        <v>17</v>
      </c>
      <c r="E63" s="3">
        <v>61</v>
      </c>
      <c r="F63" s="3" t="s">
        <v>65</v>
      </c>
      <c r="G63" s="3" t="s">
        <v>19</v>
      </c>
      <c r="H63" s="3" t="s">
        <v>39</v>
      </c>
      <c r="I63" s="3" t="s">
        <v>21</v>
      </c>
      <c r="J63" s="3" t="s">
        <v>35</v>
      </c>
      <c r="K63" s="3" t="s">
        <v>23</v>
      </c>
      <c r="L63" s="3">
        <v>2</v>
      </c>
      <c r="M63" s="3">
        <v>4</v>
      </c>
      <c r="N63" s="4">
        <v>44481</v>
      </c>
      <c r="O63" s="54">
        <v>0.34375</v>
      </c>
      <c r="P63" s="5" t="b">
        <v>1</v>
      </c>
      <c r="Q63" s="7">
        <v>62</v>
      </c>
      <c r="R63" s="7"/>
      <c r="S63" s="3"/>
      <c r="T63" s="3"/>
      <c r="V63"/>
      <c r="W63"/>
      <c r="X63"/>
      <c r="Y63" s="89"/>
    </row>
    <row r="64" spans="1:25" hidden="1" x14ac:dyDescent="0.35">
      <c r="A64" s="3" t="str">
        <f t="shared" si="0"/>
        <v>Wen_WW_OT</v>
      </c>
      <c r="B64" s="3">
        <v>2</v>
      </c>
      <c r="C64" s="3">
        <v>3</v>
      </c>
      <c r="D64" s="3" t="s">
        <v>17</v>
      </c>
      <c r="E64" s="3">
        <v>63</v>
      </c>
      <c r="F64" s="3" t="s">
        <v>66</v>
      </c>
      <c r="G64" s="3" t="s">
        <v>19</v>
      </c>
      <c r="H64" s="3" t="s">
        <v>20</v>
      </c>
      <c r="I64" s="3" t="s">
        <v>25</v>
      </c>
      <c r="J64" s="3" t="s">
        <v>35</v>
      </c>
      <c r="K64" s="3" t="s">
        <v>27</v>
      </c>
      <c r="L64" s="3">
        <v>2</v>
      </c>
      <c r="M64" s="3">
        <v>2</v>
      </c>
      <c r="N64" s="4">
        <v>44483</v>
      </c>
      <c r="O64" s="54">
        <v>0.72916666666666663</v>
      </c>
      <c r="P64" s="5" t="b">
        <v>0</v>
      </c>
      <c r="Q64" s="7">
        <f>E64</f>
        <v>63</v>
      </c>
      <c r="R64" s="7"/>
      <c r="S64" s="3" t="s">
        <v>67</v>
      </c>
      <c r="T64" s="3" t="s">
        <v>276</v>
      </c>
      <c r="V64"/>
      <c r="W64"/>
      <c r="X64"/>
      <c r="Y64" s="89"/>
    </row>
    <row r="65" spans="1:25" hidden="1" x14ac:dyDescent="0.35">
      <c r="A65" s="3" t="str">
        <f t="shared" si="0"/>
        <v>Wen_WW_OT</v>
      </c>
      <c r="B65" s="3">
        <v>2</v>
      </c>
      <c r="C65" s="3">
        <v>3</v>
      </c>
      <c r="D65" s="3" t="s">
        <v>17</v>
      </c>
      <c r="E65" s="3">
        <v>63</v>
      </c>
      <c r="F65" s="3" t="s">
        <v>66</v>
      </c>
      <c r="G65" s="3" t="s">
        <v>19</v>
      </c>
      <c r="H65" s="3" t="s">
        <v>20</v>
      </c>
      <c r="I65" s="3" t="s">
        <v>25</v>
      </c>
      <c r="J65" s="3" t="s">
        <v>28</v>
      </c>
      <c r="K65" s="3" t="s">
        <v>27</v>
      </c>
      <c r="L65" s="3"/>
      <c r="M65" s="3">
        <v>2</v>
      </c>
      <c r="N65" s="4"/>
      <c r="O65" s="4"/>
      <c r="P65" s="5" t="b">
        <v>1</v>
      </c>
      <c r="Q65" s="7">
        <v>64</v>
      </c>
      <c r="R65" s="7"/>
      <c r="S65" s="3" t="s">
        <v>68</v>
      </c>
      <c r="T65" s="3" t="s">
        <v>218</v>
      </c>
      <c r="V65"/>
      <c r="W65"/>
      <c r="X65"/>
      <c r="Y65" s="89"/>
    </row>
    <row r="66" spans="1:25" hidden="1" x14ac:dyDescent="0.35">
      <c r="A66" s="3" t="str">
        <f t="shared" ref="A66:A129" si="1">LEFT(I66,3)&amp;"_"&amp;H66&amp;"_"&amp;G66</f>
        <v>Wen_WW_OT</v>
      </c>
      <c r="B66" s="3">
        <v>20</v>
      </c>
      <c r="C66" s="3">
        <v>2</v>
      </c>
      <c r="D66" s="3" t="s">
        <v>117</v>
      </c>
      <c r="E66" s="34">
        <v>1141</v>
      </c>
      <c r="F66" s="3" t="s">
        <v>205</v>
      </c>
      <c r="G66" s="34" t="s">
        <v>19</v>
      </c>
      <c r="H66" s="34" t="s">
        <v>20</v>
      </c>
      <c r="I66" s="34" t="s">
        <v>25</v>
      </c>
      <c r="J66" s="34" t="s">
        <v>22</v>
      </c>
      <c r="K66" s="34" t="s">
        <v>23</v>
      </c>
      <c r="L66" s="34">
        <v>1</v>
      </c>
      <c r="M66" s="34">
        <v>3</v>
      </c>
      <c r="N66" s="35">
        <v>44466</v>
      </c>
      <c r="O66" s="35"/>
      <c r="P66" s="32" t="b">
        <f>ISEVEN(Q66)</f>
        <v>1</v>
      </c>
      <c r="Q66" s="36">
        <v>1142</v>
      </c>
      <c r="R66" s="36"/>
      <c r="S66" s="34"/>
      <c r="T66" s="39"/>
      <c r="U66" s="86"/>
      <c r="V66" s="89"/>
      <c r="W66" s="89"/>
      <c r="X66" s="89"/>
      <c r="Y66" s="89"/>
    </row>
    <row r="67" spans="1:25" hidden="1" x14ac:dyDescent="0.35">
      <c r="A67" s="3" t="str">
        <f t="shared" si="1"/>
        <v>Sto_WW_OT</v>
      </c>
      <c r="B67" s="3">
        <v>3</v>
      </c>
      <c r="C67" s="3">
        <v>3</v>
      </c>
      <c r="D67" s="3" t="s">
        <v>17</v>
      </c>
      <c r="E67" s="34">
        <v>65</v>
      </c>
      <c r="F67" s="3" t="s">
        <v>69</v>
      </c>
      <c r="G67" s="34" t="s">
        <v>19</v>
      </c>
      <c r="H67" s="34" t="s">
        <v>20</v>
      </c>
      <c r="I67" s="34" t="s">
        <v>21</v>
      </c>
      <c r="J67" s="34"/>
      <c r="K67" s="34"/>
      <c r="L67" s="34"/>
      <c r="M67" s="34">
        <v>4</v>
      </c>
      <c r="N67" s="35"/>
      <c r="O67" s="35"/>
      <c r="P67" s="32" t="b">
        <v>1</v>
      </c>
      <c r="Q67" s="36">
        <v>66</v>
      </c>
      <c r="R67" s="36"/>
      <c r="S67" s="34" t="s">
        <v>71</v>
      </c>
      <c r="T67" s="39" t="s">
        <v>218</v>
      </c>
      <c r="U67" s="86"/>
      <c r="V67" s="89"/>
      <c r="W67" s="89"/>
      <c r="X67" s="89"/>
      <c r="Y67" s="89" t="s">
        <v>302</v>
      </c>
    </row>
    <row r="68" spans="1:25" hidden="1" x14ac:dyDescent="0.35">
      <c r="A68" s="3" t="str">
        <f t="shared" si="1"/>
        <v>Wen_WW_OT</v>
      </c>
      <c r="B68" s="3">
        <v>8</v>
      </c>
      <c r="C68" s="3">
        <v>5</v>
      </c>
      <c r="D68" s="3" t="s">
        <v>17</v>
      </c>
      <c r="E68" s="34">
        <v>15</v>
      </c>
      <c r="F68" s="3" t="s">
        <v>34</v>
      </c>
      <c r="G68" s="34" t="s">
        <v>19</v>
      </c>
      <c r="H68" s="34" t="s">
        <v>20</v>
      </c>
      <c r="I68" s="34" t="s">
        <v>25</v>
      </c>
      <c r="J68" s="34" t="s">
        <v>22</v>
      </c>
      <c r="K68" s="34" t="s">
        <v>23</v>
      </c>
      <c r="L68" s="34">
        <v>2</v>
      </c>
      <c r="M68" s="34">
        <v>2</v>
      </c>
      <c r="N68" s="35">
        <v>44481</v>
      </c>
      <c r="O68" s="87">
        <v>0.34375</v>
      </c>
      <c r="P68" s="32" t="b">
        <v>0</v>
      </c>
      <c r="Q68" s="36">
        <f>E68</f>
        <v>15</v>
      </c>
      <c r="R68" s="36"/>
      <c r="S68" s="34"/>
      <c r="T68" s="39"/>
      <c r="U68" s="86"/>
      <c r="V68" s="89" t="s">
        <v>296</v>
      </c>
      <c r="W68" s="89" t="s">
        <v>302</v>
      </c>
      <c r="X68" s="89"/>
      <c r="Y68" s="89" t="s">
        <v>302</v>
      </c>
    </row>
    <row r="69" spans="1:25" hidden="1" x14ac:dyDescent="0.35">
      <c r="A69" s="3" t="str">
        <f t="shared" si="1"/>
        <v>Wen_WW_OT</v>
      </c>
      <c r="B69" s="3">
        <v>4</v>
      </c>
      <c r="C69" s="3">
        <v>3</v>
      </c>
      <c r="D69" s="3" t="s">
        <v>17</v>
      </c>
      <c r="E69" s="3">
        <v>67</v>
      </c>
      <c r="F69" s="3" t="s">
        <v>72</v>
      </c>
      <c r="G69" s="3" t="s">
        <v>19</v>
      </c>
      <c r="H69" s="3" t="s">
        <v>20</v>
      </c>
      <c r="I69" s="3" t="s">
        <v>25</v>
      </c>
      <c r="J69" s="3" t="s">
        <v>35</v>
      </c>
      <c r="K69" s="3" t="s">
        <v>23</v>
      </c>
      <c r="L69" s="3">
        <v>2</v>
      </c>
      <c r="M69" s="3">
        <v>4</v>
      </c>
      <c r="N69" s="4">
        <v>44482</v>
      </c>
      <c r="O69" s="54">
        <v>0.38541666666666669</v>
      </c>
      <c r="P69" s="5" t="b">
        <v>1</v>
      </c>
      <c r="Q69" s="7">
        <v>68</v>
      </c>
      <c r="R69" s="7"/>
      <c r="S69" s="3"/>
      <c r="T69" s="3" t="s">
        <v>211</v>
      </c>
      <c r="V69"/>
      <c r="W69"/>
      <c r="X69"/>
      <c r="Y69" s="89"/>
    </row>
    <row r="70" spans="1:25" x14ac:dyDescent="0.35">
      <c r="A70" s="3" t="str">
        <f t="shared" si="1"/>
        <v>Sto_WW_OT</v>
      </c>
      <c r="B70" s="3">
        <v>5</v>
      </c>
      <c r="C70" s="3">
        <v>3</v>
      </c>
      <c r="D70" s="3" t="s">
        <v>17</v>
      </c>
      <c r="E70" s="3">
        <v>69</v>
      </c>
      <c r="F70" s="3" t="s">
        <v>73</v>
      </c>
      <c r="G70" s="34" t="s">
        <v>19</v>
      </c>
      <c r="H70" s="34" t="s">
        <v>20</v>
      </c>
      <c r="I70" s="34" t="s">
        <v>21</v>
      </c>
      <c r="J70" s="34" t="s">
        <v>26</v>
      </c>
      <c r="K70" s="34" t="s">
        <v>27</v>
      </c>
      <c r="L70" s="34">
        <v>2</v>
      </c>
      <c r="M70" s="3">
        <v>2</v>
      </c>
      <c r="N70" s="35">
        <v>44481</v>
      </c>
      <c r="O70" s="4"/>
      <c r="P70" s="5" t="b">
        <v>0</v>
      </c>
      <c r="Q70" s="36">
        <f>E70</f>
        <v>69</v>
      </c>
      <c r="R70" s="36">
        <v>1</v>
      </c>
      <c r="S70" s="3"/>
      <c r="T70" s="39"/>
      <c r="V70"/>
      <c r="W70"/>
      <c r="X70"/>
      <c r="Y70" s="89"/>
    </row>
    <row r="71" spans="1:25" hidden="1" x14ac:dyDescent="0.35">
      <c r="A71" s="3" t="str">
        <f t="shared" si="1"/>
        <v>Sto_WW_OT</v>
      </c>
      <c r="B71" s="3">
        <v>5</v>
      </c>
      <c r="C71" s="3">
        <v>3</v>
      </c>
      <c r="D71" s="3" t="s">
        <v>17</v>
      </c>
      <c r="E71" s="3">
        <v>69</v>
      </c>
      <c r="F71" s="3" t="s">
        <v>73</v>
      </c>
      <c r="G71" s="3" t="s">
        <v>19</v>
      </c>
      <c r="H71" s="3" t="s">
        <v>20</v>
      </c>
      <c r="I71" s="3" t="s">
        <v>21</v>
      </c>
      <c r="J71" s="3" t="s">
        <v>28</v>
      </c>
      <c r="K71" s="3" t="s">
        <v>27</v>
      </c>
      <c r="L71" s="3">
        <v>2</v>
      </c>
      <c r="M71" s="3">
        <v>2</v>
      </c>
      <c r="N71" s="4">
        <v>44481</v>
      </c>
      <c r="O71" s="4"/>
      <c r="P71" s="5" t="b">
        <v>1</v>
      </c>
      <c r="Q71" s="7">
        <v>70</v>
      </c>
      <c r="R71" s="7"/>
      <c r="S71" s="3"/>
      <c r="T71" s="3"/>
      <c r="V71"/>
      <c r="W71"/>
      <c r="X71"/>
      <c r="Y71" s="89"/>
    </row>
    <row r="72" spans="1:25" hidden="1" x14ac:dyDescent="0.35">
      <c r="A72" s="3" t="str">
        <f t="shared" si="1"/>
        <v>Sto_WW_OT</v>
      </c>
      <c r="B72" s="3">
        <v>1</v>
      </c>
      <c r="C72" s="3">
        <v>4</v>
      </c>
      <c r="D72" s="3" t="s">
        <v>17</v>
      </c>
      <c r="E72" s="34">
        <v>17</v>
      </c>
      <c r="F72" s="3" t="s">
        <v>36</v>
      </c>
      <c r="G72" s="34" t="s">
        <v>19</v>
      </c>
      <c r="H72" s="34" t="s">
        <v>20</v>
      </c>
      <c r="I72" s="34" t="s">
        <v>21</v>
      </c>
      <c r="J72" s="34" t="s">
        <v>22</v>
      </c>
      <c r="K72" s="34" t="s">
        <v>23</v>
      </c>
      <c r="L72" s="34">
        <v>2</v>
      </c>
      <c r="M72" s="34">
        <v>1</v>
      </c>
      <c r="N72" s="35">
        <v>44481</v>
      </c>
      <c r="O72" s="87">
        <v>0.34375</v>
      </c>
      <c r="P72" s="32" t="b">
        <v>0</v>
      </c>
      <c r="Q72" s="36">
        <f>E72</f>
        <v>17</v>
      </c>
      <c r="R72" s="36"/>
      <c r="S72" s="34"/>
      <c r="T72" s="39"/>
      <c r="U72" s="86"/>
      <c r="V72" s="89"/>
      <c r="W72" s="89" t="s">
        <v>302</v>
      </c>
      <c r="X72" s="89"/>
      <c r="Y72" s="89"/>
    </row>
    <row r="73" spans="1:25" hidden="1" x14ac:dyDescent="0.35">
      <c r="A73" s="3" t="str">
        <f t="shared" si="1"/>
        <v>Wen_WS_OT</v>
      </c>
      <c r="B73" s="3">
        <v>6</v>
      </c>
      <c r="C73" s="3">
        <v>3</v>
      </c>
      <c r="D73" s="3" t="s">
        <v>17</v>
      </c>
      <c r="E73" s="3">
        <v>71</v>
      </c>
      <c r="F73" s="3" t="s">
        <v>74</v>
      </c>
      <c r="G73" s="3" t="s">
        <v>19</v>
      </c>
      <c r="H73" s="3" t="s">
        <v>39</v>
      </c>
      <c r="I73" s="3" t="s">
        <v>25</v>
      </c>
      <c r="J73" s="3" t="s">
        <v>35</v>
      </c>
      <c r="K73" s="3" t="s">
        <v>23</v>
      </c>
      <c r="L73" s="3">
        <v>2</v>
      </c>
      <c r="M73" s="3">
        <v>4</v>
      </c>
      <c r="N73" s="4">
        <v>44482</v>
      </c>
      <c r="O73" s="54">
        <v>0.38541666666666669</v>
      </c>
      <c r="P73" s="5" t="b">
        <v>1</v>
      </c>
      <c r="Q73" s="7">
        <v>72</v>
      </c>
      <c r="R73" s="7"/>
      <c r="S73" s="3"/>
      <c r="T73" s="3"/>
      <c r="V73"/>
      <c r="W73"/>
      <c r="X73"/>
      <c r="Y73" s="89"/>
    </row>
    <row r="74" spans="1:25" x14ac:dyDescent="0.35">
      <c r="A74" s="3" t="str">
        <f t="shared" si="1"/>
        <v>Sto_WS_OT</v>
      </c>
      <c r="B74" s="3">
        <v>7</v>
      </c>
      <c r="C74" s="3">
        <v>3</v>
      </c>
      <c r="D74" s="3" t="s">
        <v>17</v>
      </c>
      <c r="E74" s="3">
        <v>73</v>
      </c>
      <c r="F74" s="3" t="s">
        <v>75</v>
      </c>
      <c r="G74" s="34" t="s">
        <v>19</v>
      </c>
      <c r="H74" s="34" t="s">
        <v>39</v>
      </c>
      <c r="I74" s="34" t="s">
        <v>21</v>
      </c>
      <c r="J74" s="34" t="s">
        <v>26</v>
      </c>
      <c r="K74" s="34" t="s">
        <v>27</v>
      </c>
      <c r="L74" s="34">
        <v>2</v>
      </c>
      <c r="M74" s="3">
        <v>2</v>
      </c>
      <c r="N74" s="35">
        <v>44481</v>
      </c>
      <c r="O74" s="4"/>
      <c r="P74" s="5" t="b">
        <v>0</v>
      </c>
      <c r="Q74" s="36">
        <f>E74</f>
        <v>73</v>
      </c>
      <c r="R74" s="36">
        <v>1</v>
      </c>
      <c r="S74" s="3"/>
      <c r="T74" s="39"/>
      <c r="V74"/>
      <c r="W74"/>
      <c r="X74"/>
      <c r="Y74" s="89"/>
    </row>
    <row r="75" spans="1:25" hidden="1" x14ac:dyDescent="0.35">
      <c r="A75" s="3" t="str">
        <f t="shared" si="1"/>
        <v>Sto_WS_OT</v>
      </c>
      <c r="B75" s="3">
        <v>7</v>
      </c>
      <c r="C75" s="3">
        <v>3</v>
      </c>
      <c r="D75" s="3" t="s">
        <v>17</v>
      </c>
      <c r="E75" s="3">
        <v>73</v>
      </c>
      <c r="F75" s="3" t="s">
        <v>75</v>
      </c>
      <c r="G75" s="3" t="s">
        <v>19</v>
      </c>
      <c r="H75" s="3" t="s">
        <v>39</v>
      </c>
      <c r="I75" s="3" t="s">
        <v>21</v>
      </c>
      <c r="J75" s="3" t="s">
        <v>28</v>
      </c>
      <c r="K75" s="3" t="s">
        <v>27</v>
      </c>
      <c r="L75" s="3">
        <v>2</v>
      </c>
      <c r="M75" s="3">
        <v>2</v>
      </c>
      <c r="N75" s="4">
        <v>44481</v>
      </c>
      <c r="O75" s="4"/>
      <c r="P75" s="5" t="b">
        <v>1</v>
      </c>
      <c r="Q75" s="7">
        <v>74</v>
      </c>
      <c r="R75" s="7"/>
      <c r="S75" s="3"/>
      <c r="T75" s="3"/>
      <c r="V75"/>
      <c r="W75"/>
      <c r="X75"/>
      <c r="Y75" s="89"/>
    </row>
    <row r="76" spans="1:25" hidden="1" x14ac:dyDescent="0.35">
      <c r="A76" s="3" t="str">
        <f t="shared" si="1"/>
        <v>Wen_WW_OT</v>
      </c>
      <c r="B76" s="3">
        <v>2</v>
      </c>
      <c r="C76" s="3">
        <v>4</v>
      </c>
      <c r="D76" s="3" t="s">
        <v>17</v>
      </c>
      <c r="E76" s="34">
        <v>19</v>
      </c>
      <c r="F76" s="3" t="s">
        <v>37</v>
      </c>
      <c r="G76" s="34" t="s">
        <v>19</v>
      </c>
      <c r="H76" s="34" t="s">
        <v>20</v>
      </c>
      <c r="I76" s="34" t="s">
        <v>25</v>
      </c>
      <c r="J76" s="34" t="s">
        <v>22</v>
      </c>
      <c r="K76" s="34" t="s">
        <v>23</v>
      </c>
      <c r="L76" s="34">
        <v>2</v>
      </c>
      <c r="M76" s="34">
        <v>1</v>
      </c>
      <c r="N76" s="35">
        <v>44481</v>
      </c>
      <c r="O76" s="87">
        <v>0.34375</v>
      </c>
      <c r="P76" s="32" t="b">
        <v>0</v>
      </c>
      <c r="Q76" s="36">
        <f>E76</f>
        <v>19</v>
      </c>
      <c r="R76" s="36"/>
      <c r="S76" s="34"/>
      <c r="T76" s="39"/>
      <c r="U76" s="86"/>
      <c r="V76" s="89"/>
      <c r="W76" s="89" t="s">
        <v>302</v>
      </c>
      <c r="X76" s="89"/>
      <c r="Y76" s="89"/>
    </row>
    <row r="77" spans="1:25" hidden="1" x14ac:dyDescent="0.35">
      <c r="A77" s="3" t="str">
        <f t="shared" si="1"/>
        <v>Sto_WS_OT</v>
      </c>
      <c r="B77" s="3">
        <v>8</v>
      </c>
      <c r="C77" s="3">
        <v>3</v>
      </c>
      <c r="D77" s="3" t="s">
        <v>17</v>
      </c>
      <c r="E77" s="3">
        <v>75</v>
      </c>
      <c r="F77" s="3" t="s">
        <v>76</v>
      </c>
      <c r="G77" s="3" t="s">
        <v>19</v>
      </c>
      <c r="H77" s="3" t="s">
        <v>39</v>
      </c>
      <c r="I77" s="3" t="s">
        <v>21</v>
      </c>
      <c r="J77" s="3" t="s">
        <v>35</v>
      </c>
      <c r="K77" s="3" t="s">
        <v>23</v>
      </c>
      <c r="L77" s="3">
        <v>2</v>
      </c>
      <c r="M77" s="3">
        <v>5</v>
      </c>
      <c r="N77" s="4">
        <v>44482</v>
      </c>
      <c r="O77" s="54">
        <v>0.51041666666666663</v>
      </c>
      <c r="P77" s="5" t="b">
        <v>1</v>
      </c>
      <c r="Q77" s="7">
        <v>76</v>
      </c>
      <c r="R77" s="7"/>
      <c r="S77" s="3"/>
      <c r="T77" s="3"/>
      <c r="V77"/>
      <c r="W77"/>
      <c r="X77"/>
      <c r="Y77" s="89"/>
    </row>
    <row r="78" spans="1:25" x14ac:dyDescent="0.35">
      <c r="A78" s="3" t="str">
        <f t="shared" si="1"/>
        <v>Wen_WS_OT</v>
      </c>
      <c r="B78" s="3">
        <v>9</v>
      </c>
      <c r="C78" s="3">
        <v>3</v>
      </c>
      <c r="D78" s="3" t="s">
        <v>17</v>
      </c>
      <c r="E78" s="3">
        <v>77</v>
      </c>
      <c r="F78" s="3" t="s">
        <v>77</v>
      </c>
      <c r="G78" s="34" t="s">
        <v>19</v>
      </c>
      <c r="H78" s="34" t="s">
        <v>39</v>
      </c>
      <c r="I78" s="34" t="s">
        <v>25</v>
      </c>
      <c r="J78" s="34" t="s">
        <v>26</v>
      </c>
      <c r="K78" s="34" t="s">
        <v>27</v>
      </c>
      <c r="L78" s="34">
        <v>2</v>
      </c>
      <c r="M78" s="3">
        <v>2</v>
      </c>
      <c r="N78" s="35">
        <v>44481</v>
      </c>
      <c r="O78" s="4"/>
      <c r="P78" s="5" t="b">
        <v>0</v>
      </c>
      <c r="Q78" s="36">
        <f>E78</f>
        <v>77</v>
      </c>
      <c r="R78" s="36">
        <v>1</v>
      </c>
      <c r="S78" s="3"/>
      <c r="T78" s="39"/>
      <c r="V78"/>
      <c r="W78"/>
      <c r="X78"/>
      <c r="Y78" s="89"/>
    </row>
    <row r="79" spans="1:25" hidden="1" x14ac:dyDescent="0.35">
      <c r="A79" s="3" t="str">
        <f t="shared" si="1"/>
        <v>Wen_WS_OT</v>
      </c>
      <c r="B79" s="3">
        <v>9</v>
      </c>
      <c r="C79" s="3">
        <v>3</v>
      </c>
      <c r="D79" s="3" t="s">
        <v>17</v>
      </c>
      <c r="E79" s="3">
        <v>77</v>
      </c>
      <c r="F79" s="3" t="s">
        <v>77</v>
      </c>
      <c r="G79" s="3" t="s">
        <v>19</v>
      </c>
      <c r="H79" s="3" t="s">
        <v>39</v>
      </c>
      <c r="I79" s="3" t="s">
        <v>25</v>
      </c>
      <c r="J79" s="3" t="s">
        <v>28</v>
      </c>
      <c r="K79" s="3" t="s">
        <v>27</v>
      </c>
      <c r="L79" s="3">
        <v>2</v>
      </c>
      <c r="M79" s="3">
        <v>2</v>
      </c>
      <c r="N79" s="4">
        <v>44481</v>
      </c>
      <c r="O79" s="4"/>
      <c r="P79" s="5" t="b">
        <v>1</v>
      </c>
      <c r="Q79" s="7">
        <v>78</v>
      </c>
      <c r="R79" s="7"/>
      <c r="S79" s="3"/>
      <c r="T79" s="3"/>
      <c r="V79"/>
      <c r="W79"/>
      <c r="X79"/>
      <c r="Y79" s="89"/>
    </row>
    <row r="80" spans="1:25" hidden="1" x14ac:dyDescent="0.35">
      <c r="A80" s="3" t="str">
        <f t="shared" si="1"/>
        <v>Wen_WS_OT</v>
      </c>
      <c r="B80" s="3">
        <v>4</v>
      </c>
      <c r="C80" s="3">
        <v>4</v>
      </c>
      <c r="D80" s="3" t="s">
        <v>17</v>
      </c>
      <c r="E80" s="34">
        <v>23</v>
      </c>
      <c r="F80" s="3" t="s">
        <v>40</v>
      </c>
      <c r="G80" s="34" t="s">
        <v>19</v>
      </c>
      <c r="H80" s="34" t="s">
        <v>39</v>
      </c>
      <c r="I80" s="34" t="s">
        <v>25</v>
      </c>
      <c r="J80" s="34" t="s">
        <v>22</v>
      </c>
      <c r="K80" s="34" t="s">
        <v>23</v>
      </c>
      <c r="L80" s="34">
        <v>2</v>
      </c>
      <c r="M80" s="34">
        <v>1</v>
      </c>
      <c r="N80" s="35">
        <v>44482</v>
      </c>
      <c r="O80" s="87">
        <v>0.38541666666666669</v>
      </c>
      <c r="P80" s="32" t="b">
        <v>0</v>
      </c>
      <c r="Q80" s="36">
        <f>E80</f>
        <v>23</v>
      </c>
      <c r="R80" s="36"/>
      <c r="S80" s="34"/>
      <c r="T80" s="39"/>
      <c r="U80" s="86"/>
      <c r="V80" s="89"/>
      <c r="W80" s="89" t="s">
        <v>302</v>
      </c>
      <c r="X80" s="89"/>
      <c r="Y80" s="89"/>
    </row>
    <row r="81" spans="1:25" hidden="1" x14ac:dyDescent="0.35">
      <c r="A81" s="3" t="str">
        <f t="shared" si="1"/>
        <v>Sto_WW_OT</v>
      </c>
      <c r="B81" s="3">
        <v>10</v>
      </c>
      <c r="C81" s="3">
        <v>3</v>
      </c>
      <c r="D81" s="3" t="s">
        <v>17</v>
      </c>
      <c r="E81" s="3">
        <v>79</v>
      </c>
      <c r="F81" s="3" t="s">
        <v>78</v>
      </c>
      <c r="G81" s="3" t="s">
        <v>19</v>
      </c>
      <c r="H81" s="3" t="s">
        <v>20</v>
      </c>
      <c r="I81" s="3" t="s">
        <v>21</v>
      </c>
      <c r="J81" s="3" t="s">
        <v>35</v>
      </c>
      <c r="K81" s="3" t="s">
        <v>23</v>
      </c>
      <c r="L81" s="3">
        <v>2</v>
      </c>
      <c r="M81" s="3">
        <v>5</v>
      </c>
      <c r="N81" s="4">
        <v>44482</v>
      </c>
      <c r="O81" s="54">
        <v>0.51041666666666663</v>
      </c>
      <c r="P81" s="5" t="b">
        <v>1</v>
      </c>
      <c r="Q81" s="7">
        <v>80</v>
      </c>
      <c r="R81" s="7"/>
      <c r="S81" s="3"/>
      <c r="T81" s="3" t="s">
        <v>214</v>
      </c>
      <c r="V81"/>
      <c r="W81"/>
      <c r="X81"/>
      <c r="Y81" s="89"/>
    </row>
    <row r="82" spans="1:25" x14ac:dyDescent="0.35">
      <c r="A82" s="3" t="str">
        <f t="shared" si="1"/>
        <v>Sto_WS_OT</v>
      </c>
      <c r="B82" s="3">
        <v>11</v>
      </c>
      <c r="C82" s="3">
        <v>3</v>
      </c>
      <c r="D82" s="3" t="s">
        <v>17</v>
      </c>
      <c r="E82" s="3">
        <v>81</v>
      </c>
      <c r="F82" s="3" t="s">
        <v>79</v>
      </c>
      <c r="G82" s="34" t="s">
        <v>19</v>
      </c>
      <c r="H82" s="34" t="s">
        <v>39</v>
      </c>
      <c r="I82" s="34" t="s">
        <v>21</v>
      </c>
      <c r="J82" s="34" t="s">
        <v>26</v>
      </c>
      <c r="K82" s="34" t="s">
        <v>27</v>
      </c>
      <c r="L82" s="34">
        <v>2</v>
      </c>
      <c r="M82" s="3">
        <v>3</v>
      </c>
      <c r="N82" s="35">
        <v>44482</v>
      </c>
      <c r="O82" s="4"/>
      <c r="P82" s="5" t="b">
        <v>0</v>
      </c>
      <c r="Q82" s="36">
        <f>E82</f>
        <v>81</v>
      </c>
      <c r="R82" s="36">
        <v>1</v>
      </c>
      <c r="S82" s="3"/>
      <c r="T82" s="39"/>
      <c r="V82"/>
      <c r="W82"/>
      <c r="X82"/>
      <c r="Y82" s="89"/>
    </row>
    <row r="83" spans="1:25" hidden="1" x14ac:dyDescent="0.35">
      <c r="A83" s="3" t="str">
        <f t="shared" si="1"/>
        <v>Sto_WS_OT</v>
      </c>
      <c r="B83" s="3">
        <v>11</v>
      </c>
      <c r="C83" s="3">
        <v>3</v>
      </c>
      <c r="D83" s="3" t="s">
        <v>17</v>
      </c>
      <c r="E83" s="3">
        <v>81</v>
      </c>
      <c r="F83" s="3" t="s">
        <v>79</v>
      </c>
      <c r="G83" s="3" t="s">
        <v>19</v>
      </c>
      <c r="H83" s="3" t="s">
        <v>39</v>
      </c>
      <c r="I83" s="3" t="s">
        <v>21</v>
      </c>
      <c r="J83" s="3" t="s">
        <v>28</v>
      </c>
      <c r="K83" s="3" t="s">
        <v>27</v>
      </c>
      <c r="L83" s="3">
        <v>2</v>
      </c>
      <c r="M83" s="3">
        <v>3</v>
      </c>
      <c r="N83" s="4">
        <v>44482</v>
      </c>
      <c r="O83" s="4"/>
      <c r="P83" s="5" t="b">
        <v>1</v>
      </c>
      <c r="Q83" s="7">
        <v>82</v>
      </c>
      <c r="R83" s="7"/>
      <c r="S83" s="3"/>
      <c r="T83" s="3"/>
      <c r="V83"/>
      <c r="W83"/>
      <c r="X83"/>
      <c r="Y83" s="89"/>
    </row>
    <row r="84" spans="1:25" hidden="1" x14ac:dyDescent="0.35">
      <c r="A84" s="3" t="str">
        <f t="shared" si="1"/>
        <v>Sto_WS_OT</v>
      </c>
      <c r="B84" s="3">
        <v>5</v>
      </c>
      <c r="C84" s="3">
        <v>4</v>
      </c>
      <c r="D84" s="3" t="s">
        <v>17</v>
      </c>
      <c r="E84" s="34">
        <v>25</v>
      </c>
      <c r="F84" s="3" t="s">
        <v>41</v>
      </c>
      <c r="G84" s="34" t="s">
        <v>19</v>
      </c>
      <c r="H84" s="34" t="s">
        <v>39</v>
      </c>
      <c r="I84" s="34" t="s">
        <v>21</v>
      </c>
      <c r="J84" s="34" t="s">
        <v>22</v>
      </c>
      <c r="K84" s="34" t="s">
        <v>23</v>
      </c>
      <c r="L84" s="34">
        <v>2</v>
      </c>
      <c r="M84" s="34">
        <v>1</v>
      </c>
      <c r="N84" s="35">
        <v>44481</v>
      </c>
      <c r="O84" s="87">
        <v>0.47222222222222227</v>
      </c>
      <c r="P84" s="32" t="b">
        <v>0</v>
      </c>
      <c r="Q84" s="36">
        <f>E84</f>
        <v>25</v>
      </c>
      <c r="R84" s="36"/>
      <c r="S84" s="34"/>
      <c r="T84" s="39"/>
      <c r="U84" s="86"/>
      <c r="V84" s="89"/>
      <c r="W84" s="89" t="s">
        <v>302</v>
      </c>
      <c r="X84" s="89"/>
      <c r="Y84" s="89"/>
    </row>
    <row r="85" spans="1:25" hidden="1" x14ac:dyDescent="0.35">
      <c r="A85" s="3" t="str">
        <f t="shared" si="1"/>
        <v>Wen_WW_OT</v>
      </c>
      <c r="B85" s="3">
        <v>12</v>
      </c>
      <c r="C85" s="3">
        <v>3</v>
      </c>
      <c r="D85" s="3" t="s">
        <v>17</v>
      </c>
      <c r="E85" s="3">
        <v>83</v>
      </c>
      <c r="F85" s="3" t="s">
        <v>80</v>
      </c>
      <c r="G85" s="3" t="s">
        <v>19</v>
      </c>
      <c r="H85" s="3" t="s">
        <v>20</v>
      </c>
      <c r="I85" s="3" t="s">
        <v>25</v>
      </c>
      <c r="J85" s="3" t="s">
        <v>35</v>
      </c>
      <c r="K85" s="3" t="s">
        <v>23</v>
      </c>
      <c r="L85" s="3">
        <v>2</v>
      </c>
      <c r="M85" s="3">
        <v>5</v>
      </c>
      <c r="N85" s="4">
        <v>44482</v>
      </c>
      <c r="O85" s="54">
        <v>0.51041666666666663</v>
      </c>
      <c r="P85" s="5" t="b">
        <v>1</v>
      </c>
      <c r="Q85" s="7">
        <v>84</v>
      </c>
      <c r="R85" s="7"/>
      <c r="S85" s="3"/>
      <c r="T85" s="3"/>
      <c r="V85"/>
      <c r="W85"/>
      <c r="X85"/>
      <c r="Y85" s="89"/>
    </row>
    <row r="86" spans="1:25" x14ac:dyDescent="0.35">
      <c r="A86" s="3" t="str">
        <f t="shared" si="1"/>
        <v>Sto_WW_OT</v>
      </c>
      <c r="B86" s="3">
        <v>13</v>
      </c>
      <c r="C86" s="3">
        <v>3</v>
      </c>
      <c r="D86" s="3" t="s">
        <v>17</v>
      </c>
      <c r="E86" s="3">
        <v>85</v>
      </c>
      <c r="F86" s="3" t="s">
        <v>81</v>
      </c>
      <c r="G86" s="34" t="s">
        <v>19</v>
      </c>
      <c r="H86" s="34" t="s">
        <v>20</v>
      </c>
      <c r="I86" s="34" t="s">
        <v>21</v>
      </c>
      <c r="J86" s="34" t="s">
        <v>26</v>
      </c>
      <c r="K86" s="34" t="s">
        <v>27</v>
      </c>
      <c r="L86" s="34">
        <v>2</v>
      </c>
      <c r="M86" s="3">
        <v>3</v>
      </c>
      <c r="N86" s="35">
        <v>44482</v>
      </c>
      <c r="O86" s="4"/>
      <c r="P86" s="5" t="b">
        <v>0</v>
      </c>
      <c r="Q86" s="36">
        <f>E86</f>
        <v>85</v>
      </c>
      <c r="R86" s="36">
        <v>1</v>
      </c>
      <c r="S86" s="3"/>
      <c r="T86" s="39"/>
      <c r="V86"/>
      <c r="W86"/>
      <c r="X86"/>
      <c r="Y86" s="89"/>
    </row>
    <row r="87" spans="1:25" hidden="1" x14ac:dyDescent="0.35">
      <c r="A87" s="3" t="str">
        <f t="shared" si="1"/>
        <v>Sto_WW_OT</v>
      </c>
      <c r="B87" s="3">
        <v>13</v>
      </c>
      <c r="C87" s="3">
        <v>3</v>
      </c>
      <c r="D87" s="3" t="s">
        <v>17</v>
      </c>
      <c r="E87" s="3">
        <v>85</v>
      </c>
      <c r="F87" s="3" t="s">
        <v>81</v>
      </c>
      <c r="G87" s="3" t="s">
        <v>19</v>
      </c>
      <c r="H87" s="3" t="s">
        <v>20</v>
      </c>
      <c r="I87" s="3" t="s">
        <v>21</v>
      </c>
      <c r="J87" s="3" t="s">
        <v>28</v>
      </c>
      <c r="K87" s="3" t="s">
        <v>27</v>
      </c>
      <c r="L87" s="3">
        <v>2</v>
      </c>
      <c r="M87" s="3">
        <v>3</v>
      </c>
      <c r="N87" s="4">
        <v>44482</v>
      </c>
      <c r="O87" s="4"/>
      <c r="P87" s="5" t="b">
        <v>1</v>
      </c>
      <c r="Q87" s="7">
        <v>86</v>
      </c>
      <c r="R87" s="7"/>
      <c r="S87" s="3"/>
      <c r="T87" s="3"/>
      <c r="V87"/>
      <c r="W87"/>
      <c r="X87"/>
      <c r="Y87" s="89"/>
    </row>
    <row r="88" spans="1:25" hidden="1" x14ac:dyDescent="0.35">
      <c r="A88" s="3" t="str">
        <f t="shared" si="1"/>
        <v>Sto_WW_OT</v>
      </c>
      <c r="B88" s="3">
        <v>6</v>
      </c>
      <c r="C88" s="3">
        <v>4</v>
      </c>
      <c r="D88" s="3" t="s">
        <v>17</v>
      </c>
      <c r="E88" s="34">
        <v>27</v>
      </c>
      <c r="F88" s="3" t="s">
        <v>42</v>
      </c>
      <c r="G88" s="34" t="s">
        <v>19</v>
      </c>
      <c r="H88" s="34" t="s">
        <v>20</v>
      </c>
      <c r="I88" s="34" t="s">
        <v>21</v>
      </c>
      <c r="J88" s="34" t="s">
        <v>22</v>
      </c>
      <c r="K88" s="34" t="s">
        <v>23</v>
      </c>
      <c r="L88" s="34">
        <v>2</v>
      </c>
      <c r="M88" s="34">
        <v>2</v>
      </c>
      <c r="N88" s="35">
        <v>44481</v>
      </c>
      <c r="O88" s="87">
        <v>0.47222222222222227</v>
      </c>
      <c r="P88" s="32" t="b">
        <v>0</v>
      </c>
      <c r="Q88" s="36">
        <f>E88</f>
        <v>27</v>
      </c>
      <c r="R88" s="36"/>
      <c r="S88" s="34"/>
      <c r="T88" s="39"/>
      <c r="U88" s="86"/>
      <c r="V88" s="89"/>
      <c r="W88" s="89" t="s">
        <v>302</v>
      </c>
      <c r="X88" s="89"/>
      <c r="Y88" s="89"/>
    </row>
    <row r="89" spans="1:25" hidden="1" x14ac:dyDescent="0.35">
      <c r="A89" s="3" t="str">
        <f t="shared" si="1"/>
        <v>Wen_WS_OT</v>
      </c>
      <c r="B89" s="3">
        <v>14</v>
      </c>
      <c r="C89" s="3">
        <v>3</v>
      </c>
      <c r="D89" s="3" t="s">
        <v>17</v>
      </c>
      <c r="E89" s="3">
        <v>87</v>
      </c>
      <c r="F89" s="3" t="s">
        <v>82</v>
      </c>
      <c r="G89" s="3" t="s">
        <v>19</v>
      </c>
      <c r="H89" s="3" t="s">
        <v>39</v>
      </c>
      <c r="I89" s="3" t="s">
        <v>25</v>
      </c>
      <c r="J89" s="3" t="s">
        <v>35</v>
      </c>
      <c r="K89" s="3" t="s">
        <v>23</v>
      </c>
      <c r="L89" s="3">
        <v>2</v>
      </c>
      <c r="M89" s="3">
        <v>5</v>
      </c>
      <c r="N89" s="4">
        <v>44482</v>
      </c>
      <c r="O89" s="54">
        <v>0.51041666666666663</v>
      </c>
      <c r="P89" s="5" t="b">
        <v>1</v>
      </c>
      <c r="Q89" s="7">
        <v>88</v>
      </c>
      <c r="R89" s="7"/>
      <c r="S89" s="3"/>
      <c r="T89" s="3"/>
      <c r="V89"/>
      <c r="W89"/>
      <c r="X89"/>
      <c r="Y89" s="89"/>
    </row>
    <row r="90" spans="1:25" x14ac:dyDescent="0.35">
      <c r="A90" s="3" t="str">
        <f t="shared" si="1"/>
        <v>Wen_WW_OT</v>
      </c>
      <c r="B90" s="3">
        <v>15</v>
      </c>
      <c r="C90" s="3">
        <v>3</v>
      </c>
      <c r="D90" s="3" t="s">
        <v>17</v>
      </c>
      <c r="E90" s="3">
        <v>89</v>
      </c>
      <c r="F90" s="3" t="s">
        <v>83</v>
      </c>
      <c r="G90" s="34" t="s">
        <v>19</v>
      </c>
      <c r="H90" s="34" t="s">
        <v>20</v>
      </c>
      <c r="I90" s="34" t="s">
        <v>25</v>
      </c>
      <c r="J90" s="34" t="s">
        <v>26</v>
      </c>
      <c r="K90" s="34" t="s">
        <v>27</v>
      </c>
      <c r="L90" s="34">
        <v>2</v>
      </c>
      <c r="M90" s="3">
        <v>3</v>
      </c>
      <c r="N90" s="35">
        <v>44482</v>
      </c>
      <c r="O90" s="4"/>
      <c r="P90" s="5" t="b">
        <v>0</v>
      </c>
      <c r="Q90" s="36">
        <f>E90</f>
        <v>89</v>
      </c>
      <c r="R90" s="36">
        <v>1</v>
      </c>
      <c r="S90" s="3"/>
      <c r="T90" s="39"/>
      <c r="V90"/>
      <c r="W90"/>
      <c r="X90"/>
      <c r="Y90" s="89"/>
    </row>
    <row r="91" spans="1:25" hidden="1" x14ac:dyDescent="0.35">
      <c r="A91" s="3" t="str">
        <f t="shared" si="1"/>
        <v>Wen_WW_OT</v>
      </c>
      <c r="B91" s="3">
        <v>15</v>
      </c>
      <c r="C91" s="3">
        <v>3</v>
      </c>
      <c r="D91" s="3" t="s">
        <v>17</v>
      </c>
      <c r="E91" s="3">
        <v>89</v>
      </c>
      <c r="F91" s="3" t="s">
        <v>83</v>
      </c>
      <c r="G91" s="3" t="s">
        <v>19</v>
      </c>
      <c r="H91" s="3" t="s">
        <v>20</v>
      </c>
      <c r="I91" s="3" t="s">
        <v>25</v>
      </c>
      <c r="J91" s="3" t="s">
        <v>28</v>
      </c>
      <c r="K91" s="3" t="s">
        <v>27</v>
      </c>
      <c r="L91" s="3">
        <v>2</v>
      </c>
      <c r="M91" s="3">
        <v>3</v>
      </c>
      <c r="N91" s="4">
        <v>44482</v>
      </c>
      <c r="O91" s="4"/>
      <c r="P91" s="5" t="b">
        <v>1</v>
      </c>
      <c r="Q91" s="7">
        <v>90</v>
      </c>
      <c r="R91" s="7"/>
      <c r="S91" s="3"/>
      <c r="T91" s="3"/>
      <c r="V91"/>
      <c r="W91"/>
      <c r="X91"/>
      <c r="Y91" s="89"/>
    </row>
    <row r="92" spans="1:25" hidden="1" x14ac:dyDescent="0.35">
      <c r="A92" s="3" t="str">
        <f t="shared" si="1"/>
        <v>Wen_WW_OT</v>
      </c>
      <c r="B92" s="3">
        <v>7</v>
      </c>
      <c r="C92" s="3">
        <v>4</v>
      </c>
      <c r="D92" s="3" t="s">
        <v>17</v>
      </c>
      <c r="E92" s="34">
        <v>29</v>
      </c>
      <c r="F92" s="3" t="s">
        <v>43</v>
      </c>
      <c r="G92" s="34" t="s">
        <v>19</v>
      </c>
      <c r="H92" s="34" t="s">
        <v>20</v>
      </c>
      <c r="I92" s="34" t="s">
        <v>25</v>
      </c>
      <c r="J92" s="34" t="s">
        <v>22</v>
      </c>
      <c r="K92" s="34" t="s">
        <v>23</v>
      </c>
      <c r="L92" s="34">
        <v>2</v>
      </c>
      <c r="M92" s="34">
        <v>2</v>
      </c>
      <c r="N92" s="35">
        <v>44481</v>
      </c>
      <c r="O92" s="87">
        <v>0.47222222222222227</v>
      </c>
      <c r="P92" s="32" t="b">
        <v>0</v>
      </c>
      <c r="Q92" s="36">
        <f>E92</f>
        <v>29</v>
      </c>
      <c r="R92" s="36"/>
      <c r="S92" s="34"/>
      <c r="T92" s="39"/>
      <c r="U92" s="86"/>
      <c r="V92" s="89" t="s">
        <v>297</v>
      </c>
      <c r="W92" s="89" t="s">
        <v>302</v>
      </c>
      <c r="X92" s="89"/>
      <c r="Y92" s="89" t="s">
        <v>302</v>
      </c>
    </row>
    <row r="93" spans="1:25" hidden="1" x14ac:dyDescent="0.35">
      <c r="A93" s="3" t="str">
        <f t="shared" si="1"/>
        <v>Sto_WS_OT</v>
      </c>
      <c r="B93" s="3">
        <v>16</v>
      </c>
      <c r="C93" s="3">
        <v>3</v>
      </c>
      <c r="D93" s="3" t="s">
        <v>17</v>
      </c>
      <c r="E93" s="3">
        <v>91</v>
      </c>
      <c r="F93" s="3" t="s">
        <v>84</v>
      </c>
      <c r="G93" s="3" t="s">
        <v>19</v>
      </c>
      <c r="H93" s="3" t="s">
        <v>39</v>
      </c>
      <c r="I93" s="3" t="s">
        <v>21</v>
      </c>
      <c r="J93" s="3" t="s">
        <v>35</v>
      </c>
      <c r="K93" s="3" t="s">
        <v>23</v>
      </c>
      <c r="L93" s="3">
        <v>2</v>
      </c>
      <c r="M93" s="3">
        <v>6</v>
      </c>
      <c r="N93" s="4">
        <v>44482</v>
      </c>
      <c r="O93" s="54">
        <v>0.51041666666666663</v>
      </c>
      <c r="P93" s="5" t="b">
        <v>1</v>
      </c>
      <c r="Q93" s="7">
        <v>92</v>
      </c>
      <c r="R93" s="7"/>
      <c r="S93" s="3"/>
      <c r="T93" s="3"/>
      <c r="V93"/>
      <c r="W93"/>
      <c r="X93"/>
      <c r="Y93" s="89"/>
    </row>
    <row r="94" spans="1:25" hidden="1" x14ac:dyDescent="0.35">
      <c r="A94" s="3" t="str">
        <f t="shared" si="1"/>
        <v>Wen_WS_OT</v>
      </c>
      <c r="B94" s="3">
        <v>9</v>
      </c>
      <c r="C94" s="3">
        <v>4</v>
      </c>
      <c r="D94" s="3" t="s">
        <v>17</v>
      </c>
      <c r="E94" s="34">
        <v>33</v>
      </c>
      <c r="F94" s="3" t="s">
        <v>45</v>
      </c>
      <c r="G94" s="34" t="s">
        <v>19</v>
      </c>
      <c r="H94" s="34" t="s">
        <v>39</v>
      </c>
      <c r="I94" s="34" t="s">
        <v>25</v>
      </c>
      <c r="J94" s="34" t="s">
        <v>22</v>
      </c>
      <c r="K94" s="34" t="s">
        <v>23</v>
      </c>
      <c r="L94" s="34">
        <v>2</v>
      </c>
      <c r="M94" s="34">
        <v>2</v>
      </c>
      <c r="N94" s="35">
        <v>44481</v>
      </c>
      <c r="O94" s="87">
        <v>0.47222222222222227</v>
      </c>
      <c r="P94" s="32" t="b">
        <v>0</v>
      </c>
      <c r="Q94" s="36">
        <f>E94</f>
        <v>33</v>
      </c>
      <c r="R94" s="36"/>
      <c r="S94" s="34"/>
      <c r="T94" s="39"/>
      <c r="U94" s="86"/>
      <c r="V94" s="89"/>
      <c r="W94" s="89" t="s">
        <v>302</v>
      </c>
      <c r="X94" s="89"/>
      <c r="Y94" s="89"/>
    </row>
    <row r="95" spans="1:25" hidden="1" x14ac:dyDescent="0.35">
      <c r="A95" s="3" t="str">
        <f t="shared" si="1"/>
        <v>Sto_WW_OT</v>
      </c>
      <c r="B95" s="3">
        <v>17</v>
      </c>
      <c r="C95" s="3">
        <v>3</v>
      </c>
      <c r="D95" s="3" t="s">
        <v>17</v>
      </c>
      <c r="E95" s="3">
        <v>93</v>
      </c>
      <c r="F95" s="3" t="s">
        <v>85</v>
      </c>
      <c r="G95" s="3" t="s">
        <v>19</v>
      </c>
      <c r="H95" s="3" t="s">
        <v>20</v>
      </c>
      <c r="I95" s="3" t="s">
        <v>21</v>
      </c>
      <c r="J95" s="3" t="s">
        <v>35</v>
      </c>
      <c r="K95" s="3" t="s">
        <v>23</v>
      </c>
      <c r="L95" s="3">
        <v>2</v>
      </c>
      <c r="M95" s="3">
        <v>6</v>
      </c>
      <c r="N95" s="4">
        <v>44483</v>
      </c>
      <c r="O95" s="54">
        <v>0.34375</v>
      </c>
      <c r="P95" s="5" t="b">
        <v>1</v>
      </c>
      <c r="Q95" s="7">
        <v>94</v>
      </c>
      <c r="R95" s="7"/>
      <c r="S95" s="3"/>
      <c r="T95" s="3"/>
      <c r="V95"/>
      <c r="W95"/>
      <c r="X95"/>
      <c r="Y95" s="89"/>
    </row>
    <row r="96" spans="1:25" x14ac:dyDescent="0.35">
      <c r="A96" s="3" t="str">
        <f t="shared" si="1"/>
        <v>Wen_WS_OT</v>
      </c>
      <c r="B96" s="3">
        <v>18</v>
      </c>
      <c r="C96" s="3">
        <v>3</v>
      </c>
      <c r="D96" s="3" t="s">
        <v>17</v>
      </c>
      <c r="E96" s="3">
        <v>95</v>
      </c>
      <c r="F96" s="3" t="s">
        <v>86</v>
      </c>
      <c r="G96" s="34" t="s">
        <v>19</v>
      </c>
      <c r="H96" s="34" t="s">
        <v>39</v>
      </c>
      <c r="I96" s="34" t="s">
        <v>25</v>
      </c>
      <c r="J96" s="34" t="s">
        <v>26</v>
      </c>
      <c r="K96" s="34" t="s">
        <v>27</v>
      </c>
      <c r="L96" s="34">
        <v>2</v>
      </c>
      <c r="M96" s="3">
        <v>3</v>
      </c>
      <c r="N96" s="35">
        <v>44482</v>
      </c>
      <c r="O96" s="4"/>
      <c r="P96" s="5" t="b">
        <v>0</v>
      </c>
      <c r="Q96" s="36">
        <f>E96</f>
        <v>95</v>
      </c>
      <c r="R96" s="36">
        <v>1</v>
      </c>
      <c r="S96" s="3"/>
      <c r="T96" s="39"/>
      <c r="V96"/>
      <c r="W96"/>
      <c r="X96"/>
      <c r="Y96" s="89"/>
    </row>
    <row r="97" spans="1:25" hidden="1" x14ac:dyDescent="0.35">
      <c r="A97" s="3" t="str">
        <f t="shared" si="1"/>
        <v>Wen_WS_OT</v>
      </c>
      <c r="B97" s="3">
        <v>18</v>
      </c>
      <c r="C97" s="3">
        <v>3</v>
      </c>
      <c r="D97" s="3" t="s">
        <v>17</v>
      </c>
      <c r="E97" s="3">
        <v>95</v>
      </c>
      <c r="F97" s="3" t="s">
        <v>86</v>
      </c>
      <c r="G97" s="3" t="s">
        <v>19</v>
      </c>
      <c r="H97" s="3" t="s">
        <v>39</v>
      </c>
      <c r="I97" s="3" t="s">
        <v>25</v>
      </c>
      <c r="J97" s="3" t="s">
        <v>28</v>
      </c>
      <c r="K97" s="3" t="s">
        <v>27</v>
      </c>
      <c r="L97" s="3">
        <v>2</v>
      </c>
      <c r="M97" s="3">
        <v>3</v>
      </c>
      <c r="N97" s="4">
        <v>44482</v>
      </c>
      <c r="O97" s="4"/>
      <c r="P97" s="5" t="b">
        <v>1</v>
      </c>
      <c r="Q97" s="7">
        <v>96</v>
      </c>
      <c r="R97" s="7"/>
      <c r="S97" s="3"/>
      <c r="T97" s="3"/>
      <c r="V97"/>
      <c r="W97"/>
      <c r="X97"/>
      <c r="Y97" s="89"/>
    </row>
    <row r="98" spans="1:25" hidden="1" x14ac:dyDescent="0.35">
      <c r="A98" s="3" t="str">
        <f t="shared" si="1"/>
        <v>Wen_WW_OT</v>
      </c>
      <c r="B98" s="3">
        <v>19</v>
      </c>
      <c r="C98" s="3">
        <v>3</v>
      </c>
      <c r="D98" s="3" t="s">
        <v>17</v>
      </c>
      <c r="E98" s="34">
        <v>97</v>
      </c>
      <c r="F98" s="3" t="s">
        <v>87</v>
      </c>
      <c r="G98" s="34" t="s">
        <v>19</v>
      </c>
      <c r="H98" s="34" t="s">
        <v>20</v>
      </c>
      <c r="I98" s="34" t="s">
        <v>25</v>
      </c>
      <c r="J98" s="34"/>
      <c r="K98" s="34"/>
      <c r="L98" s="34"/>
      <c r="M98" s="34">
        <v>6</v>
      </c>
      <c r="N98" s="35"/>
      <c r="O98" s="35"/>
      <c r="P98" s="32" t="b">
        <v>0</v>
      </c>
      <c r="Q98" s="36">
        <f>E98</f>
        <v>97</v>
      </c>
      <c r="R98" s="36"/>
      <c r="S98" s="34" t="s">
        <v>88</v>
      </c>
      <c r="T98" s="39" t="s">
        <v>218</v>
      </c>
      <c r="U98" s="86" t="s">
        <v>303</v>
      </c>
      <c r="V98" s="89"/>
      <c r="W98" s="89"/>
      <c r="X98" s="89"/>
      <c r="Y98" s="89" t="s">
        <v>302</v>
      </c>
    </row>
    <row r="99" spans="1:25" hidden="1" x14ac:dyDescent="0.35">
      <c r="A99" s="3" t="str">
        <f t="shared" si="1"/>
        <v>Wen_WW_OT</v>
      </c>
      <c r="B99" s="3">
        <v>19</v>
      </c>
      <c r="C99" s="3">
        <v>3</v>
      </c>
      <c r="D99" s="3" t="s">
        <v>17</v>
      </c>
      <c r="E99" s="3">
        <v>97</v>
      </c>
      <c r="F99" s="3" t="s">
        <v>87</v>
      </c>
      <c r="G99" s="3" t="s">
        <v>19</v>
      </c>
      <c r="H99" s="3" t="s">
        <v>20</v>
      </c>
      <c r="I99" s="3" t="s">
        <v>25</v>
      </c>
      <c r="J99" s="3" t="s">
        <v>35</v>
      </c>
      <c r="K99" s="3" t="s">
        <v>23</v>
      </c>
      <c r="L99" s="3">
        <v>2</v>
      </c>
      <c r="M99" s="3">
        <v>6</v>
      </c>
      <c r="N99" s="4">
        <v>44483</v>
      </c>
      <c r="O99" s="54">
        <v>0.72916666666666663</v>
      </c>
      <c r="P99" s="5" t="b">
        <v>1</v>
      </c>
      <c r="Q99" s="7">
        <v>98</v>
      </c>
      <c r="R99" s="7"/>
      <c r="S99" s="3" t="s">
        <v>89</v>
      </c>
      <c r="T99" s="3" t="s">
        <v>276</v>
      </c>
      <c r="V99"/>
      <c r="W99"/>
      <c r="X99"/>
      <c r="Y99" s="89"/>
    </row>
    <row r="100" spans="1:25" hidden="1" x14ac:dyDescent="0.35">
      <c r="A100" s="3" t="str">
        <f t="shared" si="1"/>
        <v>Sto_WS_OT</v>
      </c>
      <c r="B100" s="3">
        <v>11</v>
      </c>
      <c r="C100" s="3">
        <v>4</v>
      </c>
      <c r="D100" s="3" t="s">
        <v>17</v>
      </c>
      <c r="E100" s="34">
        <v>37</v>
      </c>
      <c r="F100" s="3" t="s">
        <v>47</v>
      </c>
      <c r="G100" s="34" t="s">
        <v>19</v>
      </c>
      <c r="H100" s="34" t="s">
        <v>39</v>
      </c>
      <c r="I100" s="34" t="s">
        <v>21</v>
      </c>
      <c r="J100" s="34" t="s">
        <v>22</v>
      </c>
      <c r="K100" s="34" t="s">
        <v>23</v>
      </c>
      <c r="L100" s="34">
        <v>2</v>
      </c>
      <c r="M100" s="34">
        <v>2</v>
      </c>
      <c r="N100" s="35">
        <v>44481</v>
      </c>
      <c r="O100" s="87">
        <v>0.47222222222222227</v>
      </c>
      <c r="P100" s="32" t="b">
        <v>0</v>
      </c>
      <c r="Q100" s="36">
        <f>E100</f>
        <v>37</v>
      </c>
      <c r="R100" s="36"/>
      <c r="S100" s="34"/>
      <c r="T100" s="39"/>
      <c r="U100" s="86"/>
      <c r="V100" s="89"/>
      <c r="W100" s="89" t="s">
        <v>302</v>
      </c>
      <c r="X100" s="89"/>
      <c r="Y100" s="89"/>
    </row>
    <row r="101" spans="1:25" hidden="1" x14ac:dyDescent="0.35">
      <c r="A101" s="3" t="str">
        <f t="shared" si="1"/>
        <v>Wen_WS_OT</v>
      </c>
      <c r="B101" s="3">
        <v>20</v>
      </c>
      <c r="C101" s="3">
        <v>3</v>
      </c>
      <c r="D101" s="3" t="s">
        <v>17</v>
      </c>
      <c r="E101" s="3">
        <v>99</v>
      </c>
      <c r="F101" s="3" t="s">
        <v>90</v>
      </c>
      <c r="G101" s="3" t="s">
        <v>19</v>
      </c>
      <c r="H101" s="3" t="s">
        <v>39</v>
      </c>
      <c r="I101" s="3" t="s">
        <v>25</v>
      </c>
      <c r="J101" s="3" t="s">
        <v>35</v>
      </c>
      <c r="K101" s="3" t="s">
        <v>23</v>
      </c>
      <c r="L101" s="3">
        <v>2</v>
      </c>
      <c r="M101" s="3">
        <v>6</v>
      </c>
      <c r="N101" s="4">
        <v>44483</v>
      </c>
      <c r="O101" s="54">
        <v>0.34375</v>
      </c>
      <c r="P101" s="5" t="b">
        <v>1</v>
      </c>
      <c r="Q101" s="7">
        <v>100</v>
      </c>
      <c r="R101" s="7"/>
      <c r="S101" s="3"/>
      <c r="T101" s="3"/>
      <c r="V101"/>
      <c r="W101"/>
      <c r="X101"/>
      <c r="Y101" s="89"/>
    </row>
    <row r="102" spans="1:25" x14ac:dyDescent="0.35">
      <c r="A102" s="3" t="str">
        <f t="shared" si="1"/>
        <v>Sto_WW_OT</v>
      </c>
      <c r="B102" s="3">
        <v>21</v>
      </c>
      <c r="C102" s="3">
        <v>3</v>
      </c>
      <c r="D102" s="3" t="s">
        <v>17</v>
      </c>
      <c r="E102" s="3">
        <v>101</v>
      </c>
      <c r="F102" s="3" t="s">
        <v>91</v>
      </c>
      <c r="G102" s="34" t="s">
        <v>19</v>
      </c>
      <c r="H102" s="34" t="s">
        <v>20</v>
      </c>
      <c r="I102" s="34" t="s">
        <v>21</v>
      </c>
      <c r="J102" s="34" t="s">
        <v>26</v>
      </c>
      <c r="K102" s="34" t="s">
        <v>27</v>
      </c>
      <c r="L102" s="34">
        <v>2</v>
      </c>
      <c r="M102" s="3"/>
      <c r="N102" s="35">
        <v>44482</v>
      </c>
      <c r="O102" s="4"/>
      <c r="P102" s="5" t="b">
        <v>0</v>
      </c>
      <c r="Q102" s="36">
        <f>E102</f>
        <v>101</v>
      </c>
      <c r="R102" s="36">
        <v>1</v>
      </c>
      <c r="S102" s="3"/>
      <c r="T102" s="39"/>
      <c r="V102"/>
      <c r="W102"/>
      <c r="X102"/>
      <c r="Y102" s="89"/>
    </row>
    <row r="103" spans="1:25" hidden="1" x14ac:dyDescent="0.35">
      <c r="A103" s="3" t="str">
        <f t="shared" si="1"/>
        <v>Sto_WW_OT</v>
      </c>
      <c r="B103" s="3">
        <v>21</v>
      </c>
      <c r="C103" s="3">
        <v>3</v>
      </c>
      <c r="D103" s="3" t="s">
        <v>17</v>
      </c>
      <c r="E103" s="3">
        <v>101</v>
      </c>
      <c r="F103" s="3" t="s">
        <v>91</v>
      </c>
      <c r="G103" s="3" t="s">
        <v>19</v>
      </c>
      <c r="H103" s="3" t="s">
        <v>20</v>
      </c>
      <c r="I103" s="3" t="s">
        <v>21</v>
      </c>
      <c r="J103" s="3" t="s">
        <v>28</v>
      </c>
      <c r="K103" s="3" t="s">
        <v>27</v>
      </c>
      <c r="L103" s="3">
        <v>2</v>
      </c>
      <c r="M103" s="3"/>
      <c r="N103" s="4">
        <v>44482</v>
      </c>
      <c r="O103" s="4"/>
      <c r="P103" s="5" t="b">
        <v>1</v>
      </c>
      <c r="Q103" s="7">
        <v>102</v>
      </c>
      <c r="R103" s="7"/>
      <c r="S103" s="3"/>
      <c r="T103" s="3"/>
      <c r="V103"/>
      <c r="W103"/>
      <c r="X103"/>
      <c r="Y103" s="89"/>
    </row>
    <row r="104" spans="1:25" hidden="1" x14ac:dyDescent="0.35">
      <c r="A104" s="3" t="str">
        <f t="shared" si="1"/>
        <v>Sto_WW_OT</v>
      </c>
      <c r="B104" s="3">
        <v>12</v>
      </c>
      <c r="C104" s="3">
        <v>4</v>
      </c>
      <c r="D104" s="3" t="s">
        <v>17</v>
      </c>
      <c r="E104" s="34">
        <v>39</v>
      </c>
      <c r="F104" s="3" t="s">
        <v>48</v>
      </c>
      <c r="G104" s="34" t="s">
        <v>19</v>
      </c>
      <c r="H104" s="34" t="s">
        <v>20</v>
      </c>
      <c r="I104" s="34" t="s">
        <v>21</v>
      </c>
      <c r="J104" s="34" t="s">
        <v>22</v>
      </c>
      <c r="K104" s="34" t="s">
        <v>23</v>
      </c>
      <c r="L104" s="34">
        <v>2</v>
      </c>
      <c r="M104" s="34">
        <v>3</v>
      </c>
      <c r="N104" s="35">
        <v>44481</v>
      </c>
      <c r="O104" s="87">
        <v>0.47222222222222227</v>
      </c>
      <c r="P104" s="32" t="b">
        <v>0</v>
      </c>
      <c r="Q104" s="36">
        <f>E104</f>
        <v>39</v>
      </c>
      <c r="R104" s="36"/>
      <c r="S104" s="34"/>
      <c r="T104" s="39"/>
      <c r="U104" s="86"/>
      <c r="V104" s="89"/>
      <c r="W104" s="89" t="s">
        <v>302</v>
      </c>
      <c r="X104" s="89"/>
      <c r="Y104" s="89"/>
    </row>
    <row r="105" spans="1:25" hidden="1" x14ac:dyDescent="0.35">
      <c r="A105" s="3" t="str">
        <f t="shared" si="1"/>
        <v>Wen_WS_OT</v>
      </c>
      <c r="B105" s="3">
        <v>1</v>
      </c>
      <c r="C105" s="3">
        <v>2</v>
      </c>
      <c r="D105" s="3" t="s">
        <v>17</v>
      </c>
      <c r="E105" s="3">
        <v>103</v>
      </c>
      <c r="F105" s="3" t="s">
        <v>92</v>
      </c>
      <c r="G105" s="3" t="s">
        <v>19</v>
      </c>
      <c r="H105" s="3" t="s">
        <v>39</v>
      </c>
      <c r="I105" s="3" t="s">
        <v>25</v>
      </c>
      <c r="J105" s="3" t="s">
        <v>35</v>
      </c>
      <c r="K105" s="3" t="s">
        <v>23</v>
      </c>
      <c r="L105" s="3">
        <v>2</v>
      </c>
      <c r="M105" s="3">
        <v>7</v>
      </c>
      <c r="N105" s="4">
        <v>44483</v>
      </c>
      <c r="O105" s="54">
        <v>0.34375</v>
      </c>
      <c r="P105" s="5" t="b">
        <v>1</v>
      </c>
      <c r="Q105" s="7">
        <v>104</v>
      </c>
      <c r="R105" s="7"/>
      <c r="S105" s="3"/>
      <c r="T105" s="3"/>
      <c r="V105"/>
      <c r="W105"/>
      <c r="X105"/>
      <c r="Y105" s="89"/>
    </row>
    <row r="106" spans="1:25" hidden="1" x14ac:dyDescent="0.35">
      <c r="A106" s="3" t="str">
        <f t="shared" si="1"/>
        <v>Sto_WS_OT</v>
      </c>
      <c r="B106" s="3">
        <v>13</v>
      </c>
      <c r="C106" s="3">
        <v>4</v>
      </c>
      <c r="D106" s="3" t="s">
        <v>17</v>
      </c>
      <c r="E106" s="34">
        <v>41</v>
      </c>
      <c r="F106" s="3" t="s">
        <v>49</v>
      </c>
      <c r="G106" s="34" t="s">
        <v>19</v>
      </c>
      <c r="H106" s="34" t="s">
        <v>39</v>
      </c>
      <c r="I106" s="34" t="s">
        <v>21</v>
      </c>
      <c r="J106" s="34" t="s">
        <v>22</v>
      </c>
      <c r="K106" s="34" t="s">
        <v>23</v>
      </c>
      <c r="L106" s="34">
        <v>2</v>
      </c>
      <c r="M106" s="34">
        <v>3</v>
      </c>
      <c r="N106" s="35">
        <v>44481</v>
      </c>
      <c r="O106" s="87">
        <v>0.47222222222222227</v>
      </c>
      <c r="P106" s="32" t="b">
        <v>0</v>
      </c>
      <c r="Q106" s="36">
        <f>E106</f>
        <v>41</v>
      </c>
      <c r="R106" s="36"/>
      <c r="S106" s="34"/>
      <c r="T106" s="39"/>
      <c r="U106" s="86"/>
      <c r="V106" s="89"/>
      <c r="W106" s="89" t="s">
        <v>302</v>
      </c>
      <c r="X106" s="89"/>
      <c r="Y106" s="89"/>
    </row>
    <row r="107" spans="1:25" hidden="1" x14ac:dyDescent="0.35">
      <c r="A107" s="3" t="str">
        <f t="shared" si="1"/>
        <v>Sto_WS_OT</v>
      </c>
      <c r="B107" s="3">
        <v>2</v>
      </c>
      <c r="C107" s="3">
        <v>2</v>
      </c>
      <c r="D107" s="3" t="s">
        <v>17</v>
      </c>
      <c r="E107" s="3">
        <v>105</v>
      </c>
      <c r="F107" s="3" t="s">
        <v>93</v>
      </c>
      <c r="G107" s="3" t="s">
        <v>19</v>
      </c>
      <c r="H107" s="3" t="s">
        <v>39</v>
      </c>
      <c r="I107" s="3" t="s">
        <v>21</v>
      </c>
      <c r="J107" s="3" t="s">
        <v>35</v>
      </c>
      <c r="K107" s="3" t="s">
        <v>23</v>
      </c>
      <c r="L107" s="3">
        <v>2</v>
      </c>
      <c r="M107" s="3">
        <v>7</v>
      </c>
      <c r="N107" s="4">
        <v>44483</v>
      </c>
      <c r="O107" s="54">
        <v>0.34375</v>
      </c>
      <c r="P107" s="5" t="b">
        <v>1</v>
      </c>
      <c r="Q107" s="7">
        <v>106</v>
      </c>
      <c r="R107" s="7"/>
      <c r="S107" s="3"/>
      <c r="T107" s="3"/>
      <c r="V107"/>
      <c r="W107"/>
      <c r="X107"/>
      <c r="Y107" s="89"/>
    </row>
    <row r="108" spans="1:25" x14ac:dyDescent="0.35">
      <c r="A108" s="3" t="str">
        <f t="shared" si="1"/>
        <v>Sto_WS_OT</v>
      </c>
      <c r="B108" s="3">
        <v>3</v>
      </c>
      <c r="C108" s="3">
        <v>2</v>
      </c>
      <c r="D108" s="3" t="s">
        <v>17</v>
      </c>
      <c r="E108" s="3">
        <v>107</v>
      </c>
      <c r="F108" s="3" t="s">
        <v>94</v>
      </c>
      <c r="G108" s="34" t="s">
        <v>19</v>
      </c>
      <c r="H108" s="34" t="s">
        <v>39</v>
      </c>
      <c r="I108" s="34" t="s">
        <v>21</v>
      </c>
      <c r="J108" s="34" t="s">
        <v>26</v>
      </c>
      <c r="K108" s="34" t="s">
        <v>27</v>
      </c>
      <c r="L108" s="34">
        <v>2</v>
      </c>
      <c r="M108" s="3">
        <v>4</v>
      </c>
      <c r="N108" s="35">
        <v>44482</v>
      </c>
      <c r="O108" s="4"/>
      <c r="P108" s="5" t="b">
        <v>0</v>
      </c>
      <c r="Q108" s="36">
        <f>E108</f>
        <v>107</v>
      </c>
      <c r="R108" s="36">
        <v>1</v>
      </c>
      <c r="S108" s="3"/>
      <c r="T108" s="39"/>
      <c r="V108"/>
      <c r="W108"/>
      <c r="X108"/>
      <c r="Y108" s="89"/>
    </row>
    <row r="109" spans="1:25" hidden="1" x14ac:dyDescent="0.35">
      <c r="A109" s="3" t="str">
        <f t="shared" si="1"/>
        <v>Sto_WS_OT</v>
      </c>
      <c r="B109" s="3">
        <v>3</v>
      </c>
      <c r="C109" s="3">
        <v>2</v>
      </c>
      <c r="D109" s="3" t="s">
        <v>17</v>
      </c>
      <c r="E109" s="3">
        <v>107</v>
      </c>
      <c r="F109" s="3" t="s">
        <v>94</v>
      </c>
      <c r="G109" s="3" t="s">
        <v>19</v>
      </c>
      <c r="H109" s="3" t="s">
        <v>39</v>
      </c>
      <c r="I109" s="3" t="s">
        <v>21</v>
      </c>
      <c r="J109" s="3" t="s">
        <v>28</v>
      </c>
      <c r="K109" s="3" t="s">
        <v>27</v>
      </c>
      <c r="L109" s="3">
        <v>2</v>
      </c>
      <c r="M109" s="3">
        <v>4</v>
      </c>
      <c r="N109" s="4">
        <v>44482</v>
      </c>
      <c r="O109" s="4"/>
      <c r="P109" s="5" t="b">
        <v>1</v>
      </c>
      <c r="Q109" s="7">
        <v>108</v>
      </c>
      <c r="R109" s="7"/>
      <c r="S109" s="3"/>
      <c r="T109" s="3"/>
      <c r="V109"/>
      <c r="W109"/>
      <c r="X109"/>
      <c r="Y109" s="89"/>
    </row>
    <row r="110" spans="1:25" hidden="1" x14ac:dyDescent="0.35">
      <c r="A110" s="3" t="str">
        <f t="shared" si="1"/>
        <v>Wen_WS_OT</v>
      </c>
      <c r="B110" s="3">
        <v>16</v>
      </c>
      <c r="C110" s="3">
        <v>4</v>
      </c>
      <c r="D110" s="3" t="s">
        <v>17</v>
      </c>
      <c r="E110" s="34">
        <v>47</v>
      </c>
      <c r="F110" s="3" t="s">
        <v>56</v>
      </c>
      <c r="G110" s="34" t="s">
        <v>19</v>
      </c>
      <c r="H110" s="34" t="s">
        <v>39</v>
      </c>
      <c r="I110" s="34" t="s">
        <v>25</v>
      </c>
      <c r="J110" s="34" t="s">
        <v>22</v>
      </c>
      <c r="K110" s="34" t="s">
        <v>23</v>
      </c>
      <c r="L110" s="34">
        <v>2</v>
      </c>
      <c r="M110" s="34">
        <v>3</v>
      </c>
      <c r="N110" s="35">
        <v>44482</v>
      </c>
      <c r="O110" s="87">
        <v>0.38541666666666669</v>
      </c>
      <c r="P110" s="32" t="b">
        <v>0</v>
      </c>
      <c r="Q110" s="36">
        <f>E110</f>
        <v>47</v>
      </c>
      <c r="R110" s="36"/>
      <c r="S110" s="34"/>
      <c r="T110" s="39"/>
      <c r="U110" s="86"/>
      <c r="V110" s="89"/>
      <c r="W110" s="89" t="s">
        <v>302</v>
      </c>
      <c r="X110" s="89"/>
      <c r="Y110" s="89"/>
    </row>
    <row r="111" spans="1:25" hidden="1" x14ac:dyDescent="0.35">
      <c r="A111" s="3" t="str">
        <f t="shared" si="1"/>
        <v>Sto_WW_OT</v>
      </c>
      <c r="B111" s="3">
        <v>4</v>
      </c>
      <c r="C111" s="3">
        <v>2</v>
      </c>
      <c r="D111" s="3" t="s">
        <v>17</v>
      </c>
      <c r="E111" s="3">
        <v>109</v>
      </c>
      <c r="F111" s="3" t="s">
        <v>95</v>
      </c>
      <c r="G111" s="3" t="s">
        <v>19</v>
      </c>
      <c r="H111" s="3" t="s">
        <v>20</v>
      </c>
      <c r="I111" s="3" t="s">
        <v>21</v>
      </c>
      <c r="J111" s="3" t="s">
        <v>35</v>
      </c>
      <c r="K111" s="3" t="s">
        <v>23</v>
      </c>
      <c r="L111" s="3">
        <v>2</v>
      </c>
      <c r="M111" s="3">
        <v>7</v>
      </c>
      <c r="N111" s="4">
        <v>44483</v>
      </c>
      <c r="O111" s="54">
        <v>0.4375</v>
      </c>
      <c r="P111" s="5" t="b">
        <v>1</v>
      </c>
      <c r="Q111" s="7">
        <v>110</v>
      </c>
      <c r="R111" s="7"/>
      <c r="S111" s="3"/>
      <c r="T111" s="3"/>
      <c r="V111"/>
      <c r="W111"/>
      <c r="X111"/>
      <c r="Y111" s="89"/>
    </row>
    <row r="112" spans="1:25" hidden="1" x14ac:dyDescent="0.35">
      <c r="A112" s="3" t="str">
        <f t="shared" si="1"/>
        <v>Sto_WW_OT</v>
      </c>
      <c r="B112" s="3">
        <v>19</v>
      </c>
      <c r="C112" s="3">
        <v>4</v>
      </c>
      <c r="D112" s="3" t="s">
        <v>17</v>
      </c>
      <c r="E112" s="34">
        <v>53</v>
      </c>
      <c r="F112" s="3" t="s">
        <v>60</v>
      </c>
      <c r="G112" s="34" t="s">
        <v>19</v>
      </c>
      <c r="H112" s="34" t="s">
        <v>20</v>
      </c>
      <c r="I112" s="34" t="s">
        <v>21</v>
      </c>
      <c r="J112" s="34" t="s">
        <v>22</v>
      </c>
      <c r="K112" s="34" t="s">
        <v>23</v>
      </c>
      <c r="L112" s="34">
        <v>2</v>
      </c>
      <c r="M112" s="34"/>
      <c r="N112" s="35">
        <v>44482</v>
      </c>
      <c r="O112" s="87">
        <v>0.38541666666666669</v>
      </c>
      <c r="P112" s="32" t="b">
        <v>0</v>
      </c>
      <c r="Q112" s="36">
        <f>E112</f>
        <v>53</v>
      </c>
      <c r="R112" s="36"/>
      <c r="S112" s="34"/>
      <c r="T112" s="39"/>
      <c r="U112" s="86"/>
      <c r="V112" s="89"/>
      <c r="W112" s="89" t="s">
        <v>302</v>
      </c>
      <c r="X112" s="89"/>
      <c r="Y112" s="89"/>
    </row>
    <row r="113" spans="1:25" hidden="1" x14ac:dyDescent="0.35">
      <c r="A113" s="3" t="str">
        <f t="shared" si="1"/>
        <v>Wen_WW_OT</v>
      </c>
      <c r="B113" s="3">
        <v>5</v>
      </c>
      <c r="C113" s="3">
        <v>2</v>
      </c>
      <c r="D113" s="3" t="s">
        <v>17</v>
      </c>
      <c r="E113" s="3">
        <v>111</v>
      </c>
      <c r="F113" s="3" t="s">
        <v>96</v>
      </c>
      <c r="G113" s="3" t="s">
        <v>19</v>
      </c>
      <c r="H113" s="3" t="s">
        <v>20</v>
      </c>
      <c r="I113" s="3" t="s">
        <v>25</v>
      </c>
      <c r="J113" s="3" t="s">
        <v>35</v>
      </c>
      <c r="K113" s="3" t="s">
        <v>23</v>
      </c>
      <c r="L113" s="3">
        <v>2</v>
      </c>
      <c r="M113" s="3">
        <v>7</v>
      </c>
      <c r="N113" s="4">
        <v>44483</v>
      </c>
      <c r="O113" s="54">
        <v>0.4375</v>
      </c>
      <c r="P113" s="5" t="b">
        <v>1</v>
      </c>
      <c r="Q113" s="7">
        <v>112</v>
      </c>
      <c r="R113" s="7"/>
      <c r="S113" s="3"/>
      <c r="T113" s="3"/>
      <c r="V113"/>
      <c r="W113"/>
      <c r="X113"/>
      <c r="Y113" s="89"/>
    </row>
    <row r="114" spans="1:25" ht="43.5" hidden="1" x14ac:dyDescent="0.35">
      <c r="A114" s="3" t="str">
        <f t="shared" si="1"/>
        <v>Wen_WS_OT</v>
      </c>
      <c r="B114" s="3">
        <v>6</v>
      </c>
      <c r="C114" s="3">
        <v>2</v>
      </c>
      <c r="D114" s="3" t="s">
        <v>17</v>
      </c>
      <c r="E114" s="34">
        <v>113</v>
      </c>
      <c r="F114" s="3" t="s">
        <v>97</v>
      </c>
      <c r="G114" s="34" t="s">
        <v>19</v>
      </c>
      <c r="H114" s="34" t="s">
        <v>39</v>
      </c>
      <c r="I114" s="34" t="s">
        <v>25</v>
      </c>
      <c r="J114" s="34"/>
      <c r="K114" s="34" t="s">
        <v>27</v>
      </c>
      <c r="L114" s="34"/>
      <c r="M114" s="34">
        <v>4</v>
      </c>
      <c r="N114" s="35"/>
      <c r="O114" s="35"/>
      <c r="P114" s="32" t="b">
        <v>0</v>
      </c>
      <c r="Q114" s="36">
        <f>E114</f>
        <v>113</v>
      </c>
      <c r="R114" s="36"/>
      <c r="S114" s="34" t="s">
        <v>98</v>
      </c>
      <c r="T114" s="39" t="s">
        <v>233</v>
      </c>
      <c r="U114" s="86" t="s">
        <v>302</v>
      </c>
      <c r="V114" s="89"/>
      <c r="W114" s="89"/>
      <c r="X114" s="89"/>
      <c r="Y114" s="89" t="s">
        <v>302</v>
      </c>
    </row>
    <row r="115" spans="1:25" hidden="1" x14ac:dyDescent="0.35">
      <c r="A115" s="3" t="str">
        <f t="shared" si="1"/>
        <v>Wen_WS_OT</v>
      </c>
      <c r="B115" s="3">
        <v>6</v>
      </c>
      <c r="C115" s="3">
        <v>2</v>
      </c>
      <c r="D115" s="3" t="s">
        <v>17</v>
      </c>
      <c r="E115" s="3">
        <v>113</v>
      </c>
      <c r="F115" s="3" t="s">
        <v>97</v>
      </c>
      <c r="G115" s="3" t="s">
        <v>19</v>
      </c>
      <c r="H115" s="3" t="s">
        <v>39</v>
      </c>
      <c r="I115" s="3" t="s">
        <v>25</v>
      </c>
      <c r="J115" s="3" t="s">
        <v>28</v>
      </c>
      <c r="K115" s="3" t="s">
        <v>27</v>
      </c>
      <c r="L115" s="3">
        <v>2</v>
      </c>
      <c r="M115" s="3">
        <v>4</v>
      </c>
      <c r="N115" s="4">
        <v>44483</v>
      </c>
      <c r="O115" s="4"/>
      <c r="P115" s="5" t="b">
        <v>1</v>
      </c>
      <c r="Q115" s="7">
        <v>114</v>
      </c>
      <c r="R115" s="7"/>
      <c r="S115" s="3" t="s">
        <v>99</v>
      </c>
      <c r="T115" s="3"/>
      <c r="V115"/>
      <c r="W115"/>
      <c r="X115"/>
      <c r="Y115" s="89"/>
    </row>
    <row r="116" spans="1:25" hidden="1" x14ac:dyDescent="0.35">
      <c r="A116" s="3" t="str">
        <f t="shared" si="1"/>
        <v>Wen_WW_OT</v>
      </c>
      <c r="B116" s="3">
        <v>20</v>
      </c>
      <c r="C116" s="3">
        <v>4</v>
      </c>
      <c r="D116" s="3" t="s">
        <v>17</v>
      </c>
      <c r="E116" s="34">
        <v>55</v>
      </c>
      <c r="F116" s="3" t="s">
        <v>61</v>
      </c>
      <c r="G116" s="34" t="s">
        <v>19</v>
      </c>
      <c r="H116" s="34" t="s">
        <v>20</v>
      </c>
      <c r="I116" s="34" t="s">
        <v>25</v>
      </c>
      <c r="J116" s="34" t="s">
        <v>22</v>
      </c>
      <c r="K116" s="34" t="s">
        <v>23</v>
      </c>
      <c r="L116" s="34">
        <v>2</v>
      </c>
      <c r="M116" s="34"/>
      <c r="N116" s="35">
        <v>44482</v>
      </c>
      <c r="O116" s="87">
        <v>0.38541666666666669</v>
      </c>
      <c r="P116" s="32" t="b">
        <v>0</v>
      </c>
      <c r="Q116" s="36">
        <f>E116</f>
        <v>55</v>
      </c>
      <c r="R116" s="36"/>
      <c r="S116" s="34"/>
      <c r="T116" s="39"/>
      <c r="U116" s="86"/>
      <c r="V116" s="89"/>
      <c r="W116" s="89" t="s">
        <v>302</v>
      </c>
      <c r="X116" s="89"/>
      <c r="Y116" s="89"/>
    </row>
    <row r="117" spans="1:25" hidden="1" x14ac:dyDescent="0.35">
      <c r="A117" s="3" t="str">
        <f t="shared" si="1"/>
        <v>Wen_WS_OT</v>
      </c>
      <c r="B117" s="3">
        <v>7</v>
      </c>
      <c r="C117" s="3">
        <v>2</v>
      </c>
      <c r="D117" s="3" t="s">
        <v>17</v>
      </c>
      <c r="E117" s="3">
        <v>115</v>
      </c>
      <c r="F117" s="3" t="s">
        <v>100</v>
      </c>
      <c r="G117" s="3" t="s">
        <v>19</v>
      </c>
      <c r="H117" s="3" t="s">
        <v>39</v>
      </c>
      <c r="I117" s="3" t="s">
        <v>25</v>
      </c>
      <c r="J117" s="3" t="s">
        <v>35</v>
      </c>
      <c r="K117" s="3" t="s">
        <v>23</v>
      </c>
      <c r="L117" s="3">
        <v>2</v>
      </c>
      <c r="M117" s="3">
        <v>8</v>
      </c>
      <c r="N117" s="4">
        <v>44483</v>
      </c>
      <c r="O117" s="54">
        <v>0.4375</v>
      </c>
      <c r="P117" s="5" t="b">
        <v>1</v>
      </c>
      <c r="Q117" s="7">
        <v>116</v>
      </c>
      <c r="R117" s="7"/>
      <c r="S117" s="3"/>
      <c r="T117" s="3"/>
      <c r="V117"/>
      <c r="W117"/>
      <c r="X117"/>
      <c r="Y117" s="89"/>
    </row>
    <row r="118" spans="1:25" x14ac:dyDescent="0.35">
      <c r="A118" s="3" t="str">
        <f t="shared" si="1"/>
        <v>Wen_WW_OT</v>
      </c>
      <c r="B118" s="3">
        <v>8</v>
      </c>
      <c r="C118" s="3">
        <v>2</v>
      </c>
      <c r="D118" s="3" t="s">
        <v>17</v>
      </c>
      <c r="E118" s="3">
        <v>117</v>
      </c>
      <c r="F118" s="3" t="s">
        <v>101</v>
      </c>
      <c r="G118" s="34" t="s">
        <v>19</v>
      </c>
      <c r="H118" s="34" t="s">
        <v>20</v>
      </c>
      <c r="I118" s="34" t="s">
        <v>25</v>
      </c>
      <c r="J118" s="34" t="s">
        <v>26</v>
      </c>
      <c r="K118" s="34" t="s">
        <v>27</v>
      </c>
      <c r="L118" s="34">
        <v>2</v>
      </c>
      <c r="M118" s="3">
        <v>4</v>
      </c>
      <c r="N118" s="35">
        <v>44482</v>
      </c>
      <c r="O118" s="4"/>
      <c r="P118" s="5" t="b">
        <v>0</v>
      </c>
      <c r="Q118" s="36">
        <f>E118</f>
        <v>117</v>
      </c>
      <c r="R118" s="36">
        <v>1</v>
      </c>
      <c r="S118" s="3"/>
      <c r="T118" s="39"/>
      <c r="V118"/>
      <c r="W118"/>
      <c r="X118"/>
      <c r="Y118" s="89"/>
    </row>
    <row r="119" spans="1:25" hidden="1" x14ac:dyDescent="0.35">
      <c r="A119" s="3" t="str">
        <f t="shared" si="1"/>
        <v>Wen_WW_OT</v>
      </c>
      <c r="B119" s="3">
        <v>8</v>
      </c>
      <c r="C119" s="3">
        <v>2</v>
      </c>
      <c r="D119" s="3" t="s">
        <v>17</v>
      </c>
      <c r="E119" s="3">
        <v>117</v>
      </c>
      <c r="F119" s="3" t="s">
        <v>101</v>
      </c>
      <c r="G119" s="3" t="s">
        <v>19</v>
      </c>
      <c r="H119" s="3" t="s">
        <v>20</v>
      </c>
      <c r="I119" s="3" t="s">
        <v>25</v>
      </c>
      <c r="J119" s="3" t="s">
        <v>28</v>
      </c>
      <c r="K119" s="3" t="s">
        <v>27</v>
      </c>
      <c r="L119" s="3">
        <v>2</v>
      </c>
      <c r="M119" s="3">
        <v>4</v>
      </c>
      <c r="N119" s="4">
        <v>44482</v>
      </c>
      <c r="O119" s="4"/>
      <c r="P119" s="5" t="b">
        <v>1</v>
      </c>
      <c r="Q119" s="7">
        <v>118</v>
      </c>
      <c r="R119" s="7"/>
      <c r="S119" s="3"/>
      <c r="T119" s="3"/>
      <c r="V119"/>
      <c r="W119"/>
      <c r="X119"/>
      <c r="Y119" s="89"/>
    </row>
    <row r="120" spans="1:25" hidden="1" x14ac:dyDescent="0.35">
      <c r="A120" s="3" t="str">
        <f t="shared" si="1"/>
        <v>Sto_WS_OT</v>
      </c>
      <c r="B120" s="3">
        <v>1</v>
      </c>
      <c r="C120" s="3">
        <v>3</v>
      </c>
      <c r="D120" s="3" t="s">
        <v>17</v>
      </c>
      <c r="E120" s="34">
        <v>61</v>
      </c>
      <c r="F120" s="3" t="s">
        <v>65</v>
      </c>
      <c r="G120" s="34" t="s">
        <v>19</v>
      </c>
      <c r="H120" s="34" t="s">
        <v>39</v>
      </c>
      <c r="I120" s="34" t="s">
        <v>21</v>
      </c>
      <c r="J120" s="34" t="s">
        <v>22</v>
      </c>
      <c r="K120" s="34" t="s">
        <v>23</v>
      </c>
      <c r="L120" s="34">
        <v>2</v>
      </c>
      <c r="M120" s="34">
        <v>4</v>
      </c>
      <c r="N120" s="35">
        <v>44481</v>
      </c>
      <c r="O120" s="87">
        <v>0.34375</v>
      </c>
      <c r="P120" s="32" t="b">
        <v>0</v>
      </c>
      <c r="Q120" s="36">
        <f>E120</f>
        <v>61</v>
      </c>
      <c r="R120" s="36"/>
      <c r="S120" s="34"/>
      <c r="T120" s="39"/>
      <c r="U120" s="86"/>
      <c r="V120" s="89"/>
      <c r="W120" s="89" t="s">
        <v>302</v>
      </c>
      <c r="X120" s="89"/>
      <c r="Y120" s="89"/>
    </row>
    <row r="121" spans="1:25" hidden="1" x14ac:dyDescent="0.35">
      <c r="A121" s="3" t="str">
        <f t="shared" si="1"/>
        <v>Sto_WS_OT</v>
      </c>
      <c r="B121" s="3">
        <v>9</v>
      </c>
      <c r="C121" s="3">
        <v>2</v>
      </c>
      <c r="D121" s="3" t="s">
        <v>17</v>
      </c>
      <c r="E121" s="3">
        <v>119</v>
      </c>
      <c r="F121" s="3" t="s">
        <v>102</v>
      </c>
      <c r="G121" s="3" t="s">
        <v>19</v>
      </c>
      <c r="H121" s="3" t="s">
        <v>39</v>
      </c>
      <c r="I121" s="3" t="s">
        <v>21</v>
      </c>
      <c r="J121" s="3" t="s">
        <v>35</v>
      </c>
      <c r="K121" s="3" t="s">
        <v>23</v>
      </c>
      <c r="L121" s="3">
        <v>2</v>
      </c>
      <c r="M121" s="3">
        <v>8</v>
      </c>
      <c r="N121" s="4">
        <v>44483</v>
      </c>
      <c r="O121" s="54">
        <v>0.42708333333333331</v>
      </c>
      <c r="P121" s="5" t="b">
        <v>1</v>
      </c>
      <c r="Q121" s="7">
        <v>120</v>
      </c>
      <c r="R121" s="7"/>
      <c r="S121" s="3"/>
      <c r="T121" s="3"/>
      <c r="V121"/>
      <c r="W121"/>
      <c r="X121"/>
      <c r="Y121" s="89"/>
    </row>
    <row r="122" spans="1:25" x14ac:dyDescent="0.35">
      <c r="A122" s="3" t="str">
        <f t="shared" si="1"/>
        <v>Sto_WW_OT</v>
      </c>
      <c r="B122" s="3">
        <v>10</v>
      </c>
      <c r="C122" s="3">
        <v>2</v>
      </c>
      <c r="D122" s="3" t="s">
        <v>17</v>
      </c>
      <c r="E122" s="3">
        <v>121</v>
      </c>
      <c r="F122" s="3" t="s">
        <v>103</v>
      </c>
      <c r="G122" s="34" t="s">
        <v>19</v>
      </c>
      <c r="H122" s="34" t="s">
        <v>20</v>
      </c>
      <c r="I122" s="34" t="s">
        <v>21</v>
      </c>
      <c r="J122" s="34" t="s">
        <v>26</v>
      </c>
      <c r="K122" s="34" t="s">
        <v>27</v>
      </c>
      <c r="L122" s="34">
        <v>2</v>
      </c>
      <c r="M122" s="3">
        <v>4</v>
      </c>
      <c r="N122" s="35">
        <v>44482</v>
      </c>
      <c r="O122" s="4"/>
      <c r="P122" s="5" t="b">
        <v>0</v>
      </c>
      <c r="Q122" s="36">
        <f>E122</f>
        <v>121</v>
      </c>
      <c r="R122" s="36">
        <v>1</v>
      </c>
      <c r="S122" s="3"/>
      <c r="T122" s="39"/>
      <c r="V122"/>
      <c r="W122"/>
      <c r="X122"/>
      <c r="Y122" s="89"/>
    </row>
    <row r="123" spans="1:25" hidden="1" x14ac:dyDescent="0.35">
      <c r="A123" s="3" t="str">
        <f t="shared" si="1"/>
        <v>Sto_WW_OT</v>
      </c>
      <c r="B123" s="3">
        <v>10</v>
      </c>
      <c r="C123" s="3">
        <v>2</v>
      </c>
      <c r="D123" s="3" t="s">
        <v>17</v>
      </c>
      <c r="E123" s="3">
        <v>121</v>
      </c>
      <c r="F123" s="3" t="s">
        <v>103</v>
      </c>
      <c r="G123" s="3" t="s">
        <v>19</v>
      </c>
      <c r="H123" s="3" t="s">
        <v>20</v>
      </c>
      <c r="I123" s="3" t="s">
        <v>21</v>
      </c>
      <c r="J123" s="3" t="s">
        <v>28</v>
      </c>
      <c r="K123" s="3" t="s">
        <v>27</v>
      </c>
      <c r="L123" s="3">
        <v>2</v>
      </c>
      <c r="M123" s="3">
        <v>4</v>
      </c>
      <c r="N123" s="4">
        <v>44482</v>
      </c>
      <c r="O123" s="4"/>
      <c r="P123" s="5" t="b">
        <v>1</v>
      </c>
      <c r="Q123" s="7">
        <v>122</v>
      </c>
      <c r="R123" s="7"/>
      <c r="S123" s="3"/>
      <c r="T123" s="3"/>
      <c r="V123"/>
      <c r="W123"/>
      <c r="X123"/>
      <c r="Y123" s="89"/>
    </row>
    <row r="124" spans="1:25" x14ac:dyDescent="0.35">
      <c r="A124" s="3" t="str">
        <f t="shared" si="1"/>
        <v>Wen_WS_OT</v>
      </c>
      <c r="B124" s="3">
        <v>11</v>
      </c>
      <c r="C124" s="3">
        <v>2</v>
      </c>
      <c r="D124" s="3" t="s">
        <v>17</v>
      </c>
      <c r="E124" s="3">
        <v>123</v>
      </c>
      <c r="F124" s="3" t="s">
        <v>104</v>
      </c>
      <c r="G124" s="34" t="s">
        <v>19</v>
      </c>
      <c r="H124" s="34" t="s">
        <v>39</v>
      </c>
      <c r="I124" s="34" t="s">
        <v>25</v>
      </c>
      <c r="J124" s="34" t="s">
        <v>26</v>
      </c>
      <c r="K124" s="34" t="s">
        <v>27</v>
      </c>
      <c r="L124" s="34">
        <v>2</v>
      </c>
      <c r="M124" s="3">
        <v>5</v>
      </c>
      <c r="N124" s="35">
        <v>44483</v>
      </c>
      <c r="O124" s="4"/>
      <c r="P124" s="5" t="b">
        <v>0</v>
      </c>
      <c r="Q124" s="36">
        <f>E124</f>
        <v>123</v>
      </c>
      <c r="R124" s="36">
        <v>1</v>
      </c>
      <c r="S124" s="3"/>
      <c r="T124" s="39"/>
      <c r="V124"/>
      <c r="W124"/>
      <c r="X124"/>
      <c r="Y124" s="89"/>
    </row>
    <row r="125" spans="1:25" hidden="1" x14ac:dyDescent="0.35">
      <c r="A125" s="3" t="str">
        <f t="shared" si="1"/>
        <v>Wen_WS_OT</v>
      </c>
      <c r="B125" s="3">
        <v>11</v>
      </c>
      <c r="C125" s="3">
        <v>2</v>
      </c>
      <c r="D125" s="3" t="s">
        <v>17</v>
      </c>
      <c r="E125" s="3">
        <v>123</v>
      </c>
      <c r="F125" s="3" t="s">
        <v>104</v>
      </c>
      <c r="G125" s="3" t="s">
        <v>19</v>
      </c>
      <c r="H125" s="3" t="s">
        <v>39</v>
      </c>
      <c r="I125" s="3" t="s">
        <v>25</v>
      </c>
      <c r="J125" s="3" t="s">
        <v>28</v>
      </c>
      <c r="K125" s="3" t="s">
        <v>27</v>
      </c>
      <c r="L125" s="3">
        <v>2</v>
      </c>
      <c r="M125" s="3">
        <v>5</v>
      </c>
      <c r="N125" s="4">
        <v>44483</v>
      </c>
      <c r="O125" s="4"/>
      <c r="P125" s="5" t="b">
        <v>1</v>
      </c>
      <c r="Q125" s="7">
        <v>124</v>
      </c>
      <c r="R125" s="7"/>
      <c r="S125" s="3"/>
      <c r="T125" s="3"/>
      <c r="V125"/>
      <c r="W125"/>
      <c r="X125"/>
      <c r="Y125" s="89"/>
    </row>
    <row r="126" spans="1:25" x14ac:dyDescent="0.35">
      <c r="A126" s="3" t="str">
        <f t="shared" si="1"/>
        <v>Wen_WW_OT</v>
      </c>
      <c r="B126" s="3">
        <v>12</v>
      </c>
      <c r="C126" s="3">
        <v>2</v>
      </c>
      <c r="D126" s="3" t="s">
        <v>17</v>
      </c>
      <c r="E126" s="3">
        <v>125</v>
      </c>
      <c r="F126" s="3" t="s">
        <v>105</v>
      </c>
      <c r="G126" s="34" t="s">
        <v>19</v>
      </c>
      <c r="H126" s="34" t="s">
        <v>20</v>
      </c>
      <c r="I126" s="34" t="s">
        <v>25</v>
      </c>
      <c r="J126" s="34" t="s">
        <v>26</v>
      </c>
      <c r="K126" s="34" t="s">
        <v>27</v>
      </c>
      <c r="L126" s="34">
        <v>2</v>
      </c>
      <c r="M126" s="3">
        <v>5</v>
      </c>
      <c r="N126" s="35">
        <v>44483</v>
      </c>
      <c r="O126" s="4"/>
      <c r="P126" s="5" t="b">
        <v>0</v>
      </c>
      <c r="Q126" s="36">
        <f>E126</f>
        <v>125</v>
      </c>
      <c r="R126" s="36">
        <v>1</v>
      </c>
      <c r="S126" s="3"/>
      <c r="T126" s="39"/>
      <c r="V126"/>
      <c r="W126"/>
      <c r="X126"/>
      <c r="Y126" s="89"/>
    </row>
    <row r="127" spans="1:25" hidden="1" x14ac:dyDescent="0.35">
      <c r="A127" s="3" t="str">
        <f t="shared" si="1"/>
        <v>Wen_WW_OT</v>
      </c>
      <c r="B127" s="3">
        <v>12</v>
      </c>
      <c r="C127" s="3">
        <v>2</v>
      </c>
      <c r="D127" s="3" t="s">
        <v>17</v>
      </c>
      <c r="E127" s="3">
        <v>125</v>
      </c>
      <c r="F127" s="3" t="s">
        <v>105</v>
      </c>
      <c r="G127" s="3" t="s">
        <v>19</v>
      </c>
      <c r="H127" s="3" t="s">
        <v>20</v>
      </c>
      <c r="I127" s="3" t="s">
        <v>25</v>
      </c>
      <c r="J127" s="3" t="s">
        <v>28</v>
      </c>
      <c r="K127" s="3" t="s">
        <v>27</v>
      </c>
      <c r="L127" s="3">
        <v>2</v>
      </c>
      <c r="M127" s="3">
        <v>5</v>
      </c>
      <c r="N127" s="4">
        <v>44483</v>
      </c>
      <c r="O127" s="4"/>
      <c r="P127" s="5" t="b">
        <v>1</v>
      </c>
      <c r="Q127" s="7">
        <v>126</v>
      </c>
      <c r="R127" s="7"/>
      <c r="S127" s="3"/>
      <c r="T127" s="3"/>
      <c r="V127"/>
      <c r="W127"/>
      <c r="X127"/>
      <c r="Y127" s="89"/>
    </row>
    <row r="128" spans="1:25" hidden="1" x14ac:dyDescent="0.35">
      <c r="A128" s="3" t="str">
        <f t="shared" si="1"/>
        <v>Sto_WW_OT</v>
      </c>
      <c r="B128" s="3">
        <v>3</v>
      </c>
      <c r="C128" s="3">
        <v>3</v>
      </c>
      <c r="D128" s="3" t="s">
        <v>17</v>
      </c>
      <c r="E128" s="34">
        <v>65</v>
      </c>
      <c r="F128" s="3" t="s">
        <v>69</v>
      </c>
      <c r="G128" s="34" t="s">
        <v>19</v>
      </c>
      <c r="H128" s="34" t="s">
        <v>20</v>
      </c>
      <c r="I128" s="34" t="s">
        <v>21</v>
      </c>
      <c r="J128" s="34" t="s">
        <v>22</v>
      </c>
      <c r="K128" s="34" t="s">
        <v>23</v>
      </c>
      <c r="L128" s="34">
        <v>2</v>
      </c>
      <c r="M128" s="34">
        <v>4</v>
      </c>
      <c r="N128" s="35">
        <v>44483</v>
      </c>
      <c r="O128" s="35"/>
      <c r="P128" s="32" t="b">
        <v>0</v>
      </c>
      <c r="Q128" s="36">
        <f>E128</f>
        <v>65</v>
      </c>
      <c r="R128" s="36"/>
      <c r="S128" s="34" t="s">
        <v>70</v>
      </c>
      <c r="T128" s="39" t="s">
        <v>209</v>
      </c>
      <c r="U128" s="86"/>
      <c r="V128" s="89" t="s">
        <v>298</v>
      </c>
      <c r="W128" s="89"/>
      <c r="X128" s="89"/>
      <c r="Y128" s="89" t="s">
        <v>316</v>
      </c>
    </row>
    <row r="129" spans="1:25" hidden="1" x14ac:dyDescent="0.35">
      <c r="A129" s="3" t="str">
        <f t="shared" si="1"/>
        <v>Sto_WW_OT</v>
      </c>
      <c r="B129" s="3">
        <v>13</v>
      </c>
      <c r="C129" s="3">
        <v>2</v>
      </c>
      <c r="D129" s="3" t="s">
        <v>17</v>
      </c>
      <c r="E129" s="3">
        <v>127</v>
      </c>
      <c r="F129" s="3" t="s">
        <v>106</v>
      </c>
      <c r="G129" s="3" t="s">
        <v>19</v>
      </c>
      <c r="H129" s="3" t="s">
        <v>20</v>
      </c>
      <c r="I129" s="3" t="s">
        <v>21</v>
      </c>
      <c r="J129" s="3" t="s">
        <v>35</v>
      </c>
      <c r="K129" s="3" t="s">
        <v>23</v>
      </c>
      <c r="L129" s="3">
        <v>2</v>
      </c>
      <c r="M129" s="3">
        <v>8</v>
      </c>
      <c r="N129" s="4">
        <v>44483</v>
      </c>
      <c r="O129" s="54">
        <v>0.42708333333333331</v>
      </c>
      <c r="P129" s="5" t="b">
        <v>1</v>
      </c>
      <c r="Q129" s="7">
        <v>128</v>
      </c>
      <c r="R129" s="7"/>
      <c r="S129" s="3"/>
      <c r="T129" s="3"/>
      <c r="V129"/>
      <c r="W129"/>
      <c r="X129"/>
      <c r="Y129" s="89"/>
    </row>
    <row r="130" spans="1:25" x14ac:dyDescent="0.35">
      <c r="A130" s="3" t="str">
        <f t="shared" ref="A130:A193" si="2">LEFT(I130,3)&amp;"_"&amp;H130&amp;"_"&amp;G130</f>
        <v>Sto_WS_OT</v>
      </c>
      <c r="B130" s="3">
        <v>14</v>
      </c>
      <c r="C130" s="3">
        <v>2</v>
      </c>
      <c r="D130" s="3" t="s">
        <v>17</v>
      </c>
      <c r="E130" s="3">
        <v>129</v>
      </c>
      <c r="F130" s="3" t="s">
        <v>107</v>
      </c>
      <c r="G130" s="34" t="s">
        <v>19</v>
      </c>
      <c r="H130" s="34" t="s">
        <v>39</v>
      </c>
      <c r="I130" s="34" t="s">
        <v>21</v>
      </c>
      <c r="J130" s="34" t="s">
        <v>26</v>
      </c>
      <c r="K130" s="34" t="s">
        <v>27</v>
      </c>
      <c r="L130" s="34">
        <v>2</v>
      </c>
      <c r="M130" s="3">
        <v>5</v>
      </c>
      <c r="N130" s="35">
        <v>44483</v>
      </c>
      <c r="O130" s="4"/>
      <c r="P130" s="5" t="b">
        <v>0</v>
      </c>
      <c r="Q130" s="36">
        <f>E130</f>
        <v>129</v>
      </c>
      <c r="R130" s="36">
        <v>1</v>
      </c>
      <c r="S130" s="3"/>
      <c r="T130" s="39"/>
      <c r="V130"/>
      <c r="W130"/>
      <c r="X130"/>
      <c r="Y130" s="89"/>
    </row>
    <row r="131" spans="1:25" hidden="1" x14ac:dyDescent="0.35">
      <c r="A131" s="3" t="str">
        <f t="shared" si="2"/>
        <v>Sto_WS_OT</v>
      </c>
      <c r="B131" s="3">
        <v>14</v>
      </c>
      <c r="C131" s="3">
        <v>2</v>
      </c>
      <c r="D131" s="3" t="s">
        <v>17</v>
      </c>
      <c r="E131" s="3">
        <v>129</v>
      </c>
      <c r="F131" s="3" t="s">
        <v>107</v>
      </c>
      <c r="G131" s="3" t="s">
        <v>19</v>
      </c>
      <c r="H131" s="3" t="s">
        <v>39</v>
      </c>
      <c r="I131" s="3" t="s">
        <v>21</v>
      </c>
      <c r="J131" s="3" t="s">
        <v>28</v>
      </c>
      <c r="K131" s="3" t="s">
        <v>27</v>
      </c>
      <c r="L131" s="3">
        <v>2</v>
      </c>
      <c r="M131" s="3">
        <v>5</v>
      </c>
      <c r="N131" s="4">
        <v>44483</v>
      </c>
      <c r="O131" s="4"/>
      <c r="P131" s="5" t="b">
        <v>1</v>
      </c>
      <c r="Q131" s="7">
        <v>130</v>
      </c>
      <c r="R131" s="7"/>
      <c r="S131" s="3"/>
      <c r="T131" s="3" t="s">
        <v>217</v>
      </c>
      <c r="V131"/>
      <c r="W131"/>
      <c r="X131"/>
      <c r="Y131" s="89"/>
    </row>
    <row r="132" spans="1:25" hidden="1" x14ac:dyDescent="0.35">
      <c r="A132" s="3" t="str">
        <f t="shared" si="2"/>
        <v>Wen_WW_OT</v>
      </c>
      <c r="B132" s="3">
        <v>4</v>
      </c>
      <c r="C132" s="3">
        <v>3</v>
      </c>
      <c r="D132" s="3" t="s">
        <v>17</v>
      </c>
      <c r="E132" s="34">
        <v>67</v>
      </c>
      <c r="F132" s="3" t="s">
        <v>72</v>
      </c>
      <c r="G132" s="34" t="s">
        <v>19</v>
      </c>
      <c r="H132" s="34" t="s">
        <v>20</v>
      </c>
      <c r="I132" s="34" t="s">
        <v>25</v>
      </c>
      <c r="J132" s="34" t="s">
        <v>22</v>
      </c>
      <c r="K132" s="34" t="s">
        <v>23</v>
      </c>
      <c r="L132" s="34">
        <v>2</v>
      </c>
      <c r="M132" s="34">
        <v>4</v>
      </c>
      <c r="N132" s="35">
        <v>44482</v>
      </c>
      <c r="O132" s="87">
        <v>0.38541666666666669</v>
      </c>
      <c r="P132" s="32" t="b">
        <v>0</v>
      </c>
      <c r="Q132" s="36">
        <f>E132</f>
        <v>67</v>
      </c>
      <c r="R132" s="36"/>
      <c r="S132" s="34"/>
      <c r="T132" s="39"/>
      <c r="U132" s="86"/>
      <c r="V132" s="89"/>
      <c r="W132" s="89"/>
      <c r="X132" s="89"/>
      <c r="Y132" s="89"/>
    </row>
    <row r="133" spans="1:25" hidden="1" x14ac:dyDescent="0.35">
      <c r="A133" s="3" t="str">
        <f t="shared" si="2"/>
        <v>Wen_WW_OT</v>
      </c>
      <c r="B133" s="3">
        <v>15</v>
      </c>
      <c r="C133" s="3">
        <v>2</v>
      </c>
      <c r="D133" s="3" t="s">
        <v>17</v>
      </c>
      <c r="E133" s="3">
        <v>131</v>
      </c>
      <c r="F133" s="3" t="s">
        <v>108</v>
      </c>
      <c r="G133" s="3" t="s">
        <v>19</v>
      </c>
      <c r="H133" s="3" t="s">
        <v>20</v>
      </c>
      <c r="I133" s="3" t="s">
        <v>25</v>
      </c>
      <c r="J133" s="3" t="s">
        <v>35</v>
      </c>
      <c r="K133" s="3" t="s">
        <v>23</v>
      </c>
      <c r="L133" s="3">
        <v>2</v>
      </c>
      <c r="M133" s="3">
        <v>8</v>
      </c>
      <c r="N133" s="4">
        <v>44483</v>
      </c>
      <c r="O133" s="54">
        <v>0.42708333333333331</v>
      </c>
      <c r="P133" s="5" t="b">
        <v>1</v>
      </c>
      <c r="Q133" s="7">
        <v>132</v>
      </c>
      <c r="R133" s="7"/>
      <c r="S133" s="3"/>
      <c r="T133" s="3"/>
      <c r="V133"/>
      <c r="W133"/>
      <c r="X133"/>
      <c r="Y133" s="89"/>
    </row>
    <row r="134" spans="1:25" hidden="1" x14ac:dyDescent="0.35">
      <c r="A134" s="3" t="str">
        <f t="shared" si="2"/>
        <v>Sto_WW_OT</v>
      </c>
      <c r="B134" s="3">
        <v>16</v>
      </c>
      <c r="C134" s="3">
        <v>2</v>
      </c>
      <c r="D134" s="3" t="s">
        <v>17</v>
      </c>
      <c r="E134" s="3">
        <v>133</v>
      </c>
      <c r="F134" s="3" t="s">
        <v>109</v>
      </c>
      <c r="G134" s="3" t="s">
        <v>19</v>
      </c>
      <c r="H134" s="3" t="s">
        <v>20</v>
      </c>
      <c r="I134" s="3" t="s">
        <v>21</v>
      </c>
      <c r="J134" s="3" t="s">
        <v>35</v>
      </c>
      <c r="K134" s="3"/>
      <c r="L134" s="3">
        <v>2</v>
      </c>
      <c r="M134" s="3">
        <v>5</v>
      </c>
      <c r="N134" s="4">
        <v>44483</v>
      </c>
      <c r="O134" s="54">
        <v>0.72916666666666663</v>
      </c>
      <c r="P134" s="5" t="b">
        <v>0</v>
      </c>
      <c r="Q134" s="7">
        <f>E134</f>
        <v>133</v>
      </c>
      <c r="R134" s="7"/>
      <c r="S134" s="3" t="s">
        <v>110</v>
      </c>
      <c r="T134" s="3" t="s">
        <v>220</v>
      </c>
      <c r="V134"/>
      <c r="W134"/>
      <c r="X134"/>
      <c r="Y134" s="89"/>
    </row>
    <row r="135" spans="1:25" ht="29" hidden="1" x14ac:dyDescent="0.35">
      <c r="A135" s="3" t="str">
        <f t="shared" si="2"/>
        <v>Sto_WW_OT</v>
      </c>
      <c r="B135" s="3">
        <v>16</v>
      </c>
      <c r="C135" s="3">
        <v>2</v>
      </c>
      <c r="D135" s="3" t="s">
        <v>17</v>
      </c>
      <c r="E135" s="34">
        <v>133</v>
      </c>
      <c r="F135" s="3" t="s">
        <v>109</v>
      </c>
      <c r="G135" s="34" t="s">
        <v>19</v>
      </c>
      <c r="H135" s="34" t="s">
        <v>20</v>
      </c>
      <c r="I135" s="34" t="s">
        <v>21</v>
      </c>
      <c r="J135" s="34"/>
      <c r="K135" s="34" t="s">
        <v>27</v>
      </c>
      <c r="L135" s="34"/>
      <c r="M135" s="34">
        <v>5</v>
      </c>
      <c r="N135" s="35"/>
      <c r="O135" s="35"/>
      <c r="P135" s="32" t="b">
        <v>1</v>
      </c>
      <c r="Q135" s="36">
        <v>134</v>
      </c>
      <c r="R135" s="36"/>
      <c r="S135" s="34" t="s">
        <v>111</v>
      </c>
      <c r="T135" s="39" t="s">
        <v>221</v>
      </c>
      <c r="U135" s="86"/>
      <c r="V135" s="89"/>
      <c r="W135" s="89"/>
      <c r="X135" s="89"/>
      <c r="Y135" s="89" t="s">
        <v>302</v>
      </c>
    </row>
    <row r="136" spans="1:25" hidden="1" x14ac:dyDescent="0.35">
      <c r="A136" s="3" t="str">
        <f t="shared" si="2"/>
        <v>Wen_WS_OT</v>
      </c>
      <c r="B136" s="3">
        <v>6</v>
      </c>
      <c r="C136" s="3">
        <v>3</v>
      </c>
      <c r="D136" s="3" t="s">
        <v>17</v>
      </c>
      <c r="E136" s="34">
        <v>71</v>
      </c>
      <c r="F136" s="3" t="s">
        <v>74</v>
      </c>
      <c r="G136" s="34" t="s">
        <v>19</v>
      </c>
      <c r="H136" s="34" t="s">
        <v>39</v>
      </c>
      <c r="I136" s="34" t="s">
        <v>25</v>
      </c>
      <c r="J136" s="34" t="s">
        <v>22</v>
      </c>
      <c r="K136" s="34" t="s">
        <v>23</v>
      </c>
      <c r="L136" s="34">
        <v>2</v>
      </c>
      <c r="M136" s="34">
        <v>4</v>
      </c>
      <c r="N136" s="35">
        <v>44482</v>
      </c>
      <c r="O136" s="87">
        <v>0.38541666666666669</v>
      </c>
      <c r="P136" s="32" t="b">
        <v>0</v>
      </c>
      <c r="Q136" s="36">
        <f>E136</f>
        <v>71</v>
      </c>
      <c r="R136" s="36"/>
      <c r="S136" s="34"/>
      <c r="T136" s="39"/>
      <c r="U136" s="86"/>
      <c r="V136" s="89"/>
      <c r="W136" s="89" t="s">
        <v>302</v>
      </c>
      <c r="X136" s="89"/>
      <c r="Y136" s="89"/>
    </row>
    <row r="137" spans="1:25" hidden="1" x14ac:dyDescent="0.35">
      <c r="A137" s="3" t="str">
        <f t="shared" si="2"/>
        <v>Sto_WS_OT</v>
      </c>
      <c r="B137" s="3">
        <v>8</v>
      </c>
      <c r="C137" s="3">
        <v>3</v>
      </c>
      <c r="D137" s="3" t="s">
        <v>17</v>
      </c>
      <c r="E137" s="34">
        <v>75</v>
      </c>
      <c r="F137" s="3" t="s">
        <v>76</v>
      </c>
      <c r="G137" s="34" t="s">
        <v>19</v>
      </c>
      <c r="H137" s="34" t="s">
        <v>39</v>
      </c>
      <c r="I137" s="34" t="s">
        <v>21</v>
      </c>
      <c r="J137" s="34" t="s">
        <v>22</v>
      </c>
      <c r="K137" s="34" t="s">
        <v>23</v>
      </c>
      <c r="L137" s="34">
        <v>2</v>
      </c>
      <c r="M137" s="34">
        <v>5</v>
      </c>
      <c r="N137" s="35">
        <v>44482</v>
      </c>
      <c r="O137" s="87">
        <v>0.51041666666666663</v>
      </c>
      <c r="P137" s="32" t="b">
        <v>0</v>
      </c>
      <c r="Q137" s="36">
        <f>E137</f>
        <v>75</v>
      </c>
      <c r="R137" s="36"/>
      <c r="S137" s="34"/>
      <c r="T137" s="39"/>
      <c r="U137" s="86"/>
      <c r="V137" s="89"/>
      <c r="W137" s="89" t="s">
        <v>302</v>
      </c>
      <c r="X137" s="89"/>
      <c r="Y137" s="89"/>
    </row>
    <row r="138" spans="1:25" hidden="1" x14ac:dyDescent="0.35">
      <c r="A138" s="3" t="str">
        <f t="shared" si="2"/>
        <v>Sto_WW_OT</v>
      </c>
      <c r="B138" s="3">
        <v>10</v>
      </c>
      <c r="C138" s="3">
        <v>3</v>
      </c>
      <c r="D138" s="3" t="s">
        <v>17</v>
      </c>
      <c r="E138" s="34">
        <v>79</v>
      </c>
      <c r="F138" s="3" t="s">
        <v>78</v>
      </c>
      <c r="G138" s="34" t="s">
        <v>19</v>
      </c>
      <c r="H138" s="34" t="s">
        <v>20</v>
      </c>
      <c r="I138" s="34" t="s">
        <v>21</v>
      </c>
      <c r="J138" s="34" t="s">
        <v>22</v>
      </c>
      <c r="K138" s="34" t="s">
        <v>23</v>
      </c>
      <c r="L138" s="34">
        <v>2</v>
      </c>
      <c r="M138" s="34">
        <v>5</v>
      </c>
      <c r="N138" s="35">
        <v>44482</v>
      </c>
      <c r="O138" s="87">
        <v>0.51041666666666663</v>
      </c>
      <c r="P138" s="32" t="b">
        <v>0</v>
      </c>
      <c r="Q138" s="36">
        <f>E138</f>
        <v>79</v>
      </c>
      <c r="R138" s="36"/>
      <c r="S138" s="34"/>
      <c r="T138" s="39"/>
      <c r="U138" s="86"/>
      <c r="V138" s="89"/>
      <c r="W138" s="89"/>
      <c r="X138" s="89"/>
      <c r="Y138" s="89"/>
    </row>
    <row r="139" spans="1:25" hidden="1" x14ac:dyDescent="0.35">
      <c r="A139" s="3" t="str">
        <f t="shared" si="2"/>
        <v>Wen_WW_OT</v>
      </c>
      <c r="B139" s="3">
        <v>18</v>
      </c>
      <c r="C139" s="3">
        <v>2</v>
      </c>
      <c r="D139" s="3" t="s">
        <v>17</v>
      </c>
      <c r="E139" s="3">
        <v>137</v>
      </c>
      <c r="F139" s="3" t="s">
        <v>113</v>
      </c>
      <c r="G139" s="3" t="s">
        <v>19</v>
      </c>
      <c r="H139" s="3" t="s">
        <v>20</v>
      </c>
      <c r="I139" s="3" t="s">
        <v>25</v>
      </c>
      <c r="J139" s="3" t="s">
        <v>35</v>
      </c>
      <c r="K139" s="3" t="s">
        <v>23</v>
      </c>
      <c r="L139" s="3">
        <v>2</v>
      </c>
      <c r="M139" s="3">
        <v>3</v>
      </c>
      <c r="N139" s="4">
        <v>44483</v>
      </c>
      <c r="O139" s="54">
        <v>0.42708333333333331</v>
      </c>
      <c r="P139" s="5" t="b">
        <v>1</v>
      </c>
      <c r="Q139" s="7">
        <v>138</v>
      </c>
      <c r="R139" s="7"/>
      <c r="S139" s="3"/>
      <c r="T139" s="3"/>
      <c r="V139"/>
      <c r="W139"/>
      <c r="X139"/>
      <c r="Y139" s="89"/>
    </row>
    <row r="140" spans="1:25" hidden="1" x14ac:dyDescent="0.35">
      <c r="A140" s="3" t="str">
        <f t="shared" si="2"/>
        <v>Wen_WW_OT</v>
      </c>
      <c r="B140" s="3">
        <v>12</v>
      </c>
      <c r="C140" s="3">
        <v>3</v>
      </c>
      <c r="D140" s="3" t="s">
        <v>17</v>
      </c>
      <c r="E140" s="34">
        <v>83</v>
      </c>
      <c r="F140" s="3" t="s">
        <v>80</v>
      </c>
      <c r="G140" s="34" t="s">
        <v>19</v>
      </c>
      <c r="H140" s="34" t="s">
        <v>20</v>
      </c>
      <c r="I140" s="34" t="s">
        <v>25</v>
      </c>
      <c r="J140" s="34" t="s">
        <v>22</v>
      </c>
      <c r="K140" s="34" t="s">
        <v>23</v>
      </c>
      <c r="L140" s="34">
        <v>2</v>
      </c>
      <c r="M140" s="34">
        <v>5</v>
      </c>
      <c r="N140" s="35">
        <v>44482</v>
      </c>
      <c r="O140" s="87">
        <v>0.51041666666666663</v>
      </c>
      <c r="P140" s="32" t="b">
        <v>0</v>
      </c>
      <c r="Q140" s="36">
        <f>E140</f>
        <v>83</v>
      </c>
      <c r="R140" s="36"/>
      <c r="S140" s="34"/>
      <c r="T140" s="39"/>
      <c r="U140" s="86"/>
      <c r="V140" s="89"/>
      <c r="W140" s="89" t="s">
        <v>302</v>
      </c>
      <c r="X140" s="89"/>
      <c r="Y140" s="89"/>
    </row>
    <row r="141" spans="1:25" hidden="1" x14ac:dyDescent="0.35">
      <c r="A141" s="3" t="str">
        <f t="shared" si="2"/>
        <v>Sto_WW_OT</v>
      </c>
      <c r="B141" s="3">
        <v>19</v>
      </c>
      <c r="C141" s="3">
        <v>2</v>
      </c>
      <c r="D141" s="3" t="s">
        <v>17</v>
      </c>
      <c r="E141" s="3">
        <v>139</v>
      </c>
      <c r="F141" s="3" t="s">
        <v>114</v>
      </c>
      <c r="G141" s="3" t="s">
        <v>19</v>
      </c>
      <c r="H141" s="3" t="s">
        <v>20</v>
      </c>
      <c r="I141" s="3" t="s">
        <v>21</v>
      </c>
      <c r="J141" s="3" t="s">
        <v>35</v>
      </c>
      <c r="K141" s="3" t="s">
        <v>27</v>
      </c>
      <c r="L141" s="3">
        <v>2</v>
      </c>
      <c r="M141" s="3">
        <v>3</v>
      </c>
      <c r="N141" s="4">
        <v>44483</v>
      </c>
      <c r="O141" s="54">
        <v>0.42708333333333331</v>
      </c>
      <c r="P141" s="5" t="b">
        <v>1</v>
      </c>
      <c r="Q141" s="7">
        <v>140</v>
      </c>
      <c r="R141" s="7"/>
      <c r="S141" s="3"/>
      <c r="T141" s="3"/>
      <c r="V141"/>
      <c r="W141"/>
      <c r="X141"/>
      <c r="Y141" s="89"/>
    </row>
    <row r="142" spans="1:25" hidden="1" x14ac:dyDescent="0.35">
      <c r="A142" s="3" t="str">
        <f t="shared" si="2"/>
        <v>Wen_WS_OT</v>
      </c>
      <c r="B142" s="3">
        <v>14</v>
      </c>
      <c r="C142" s="3">
        <v>3</v>
      </c>
      <c r="D142" s="3" t="s">
        <v>17</v>
      </c>
      <c r="E142" s="34">
        <v>87</v>
      </c>
      <c r="F142" s="3" t="s">
        <v>82</v>
      </c>
      <c r="G142" s="34" t="s">
        <v>19</v>
      </c>
      <c r="H142" s="34" t="s">
        <v>39</v>
      </c>
      <c r="I142" s="34" t="s">
        <v>25</v>
      </c>
      <c r="J142" s="34" t="s">
        <v>22</v>
      </c>
      <c r="K142" s="34" t="s">
        <v>23</v>
      </c>
      <c r="L142" s="34">
        <v>2</v>
      </c>
      <c r="M142" s="34">
        <v>5</v>
      </c>
      <c r="N142" s="35">
        <v>44482</v>
      </c>
      <c r="O142" s="87">
        <v>0.51041666666666663</v>
      </c>
      <c r="P142" s="32" t="b">
        <v>0</v>
      </c>
      <c r="Q142" s="36">
        <f>E142</f>
        <v>87</v>
      </c>
      <c r="R142" s="36"/>
      <c r="S142" s="34"/>
      <c r="T142" s="39"/>
      <c r="U142" s="86" t="s">
        <v>303</v>
      </c>
      <c r="V142" s="89" t="s">
        <v>299</v>
      </c>
      <c r="W142" s="89" t="s">
        <v>302</v>
      </c>
      <c r="X142" s="89" t="s">
        <v>302</v>
      </c>
      <c r="Y142" s="89" t="s">
        <v>316</v>
      </c>
    </row>
    <row r="143" spans="1:25" hidden="1" x14ac:dyDescent="0.35">
      <c r="A143" s="3" t="str">
        <f t="shared" si="2"/>
        <v>Sto_WS_OT</v>
      </c>
      <c r="B143" s="3">
        <v>16</v>
      </c>
      <c r="C143" s="3">
        <v>3</v>
      </c>
      <c r="D143" s="3" t="s">
        <v>17</v>
      </c>
      <c r="E143" s="34">
        <v>91</v>
      </c>
      <c r="F143" s="3" t="s">
        <v>84</v>
      </c>
      <c r="G143" s="94" t="s">
        <v>19</v>
      </c>
      <c r="H143" s="94" t="s">
        <v>39</v>
      </c>
      <c r="I143" s="94" t="s">
        <v>21</v>
      </c>
      <c r="J143" s="94" t="s">
        <v>22</v>
      </c>
      <c r="K143" s="94" t="s">
        <v>23</v>
      </c>
      <c r="L143" s="94">
        <v>2</v>
      </c>
      <c r="M143" s="34">
        <v>6</v>
      </c>
      <c r="N143" s="95">
        <v>44482</v>
      </c>
      <c r="O143" s="87">
        <v>0.51041666666666663</v>
      </c>
      <c r="P143" s="32" t="b">
        <v>0</v>
      </c>
      <c r="Q143" s="96">
        <f>E143</f>
        <v>91</v>
      </c>
      <c r="R143" s="96"/>
      <c r="S143" s="34"/>
      <c r="T143" s="97"/>
      <c r="U143" s="86"/>
      <c r="V143" s="89"/>
      <c r="W143" s="89" t="s">
        <v>302</v>
      </c>
      <c r="X143" s="89"/>
      <c r="Y143" s="89"/>
    </row>
    <row r="144" spans="1:25" ht="43.5" x14ac:dyDescent="0.35">
      <c r="A144" s="3" t="str">
        <f t="shared" si="2"/>
        <v>Wen_WW_OT</v>
      </c>
      <c r="B144" s="3">
        <v>21</v>
      </c>
      <c r="C144" s="3">
        <v>2</v>
      </c>
      <c r="D144" s="3" t="s">
        <v>17</v>
      </c>
      <c r="E144" s="3">
        <v>143</v>
      </c>
      <c r="F144" s="3" t="s">
        <v>116</v>
      </c>
      <c r="G144" s="34" t="s">
        <v>19</v>
      </c>
      <c r="H144" s="34" t="s">
        <v>20</v>
      </c>
      <c r="I144" s="34" t="s">
        <v>25</v>
      </c>
      <c r="J144" s="34" t="s">
        <v>26</v>
      </c>
      <c r="K144" s="34" t="s">
        <v>27</v>
      </c>
      <c r="L144" s="34">
        <v>2</v>
      </c>
      <c r="M144" s="3"/>
      <c r="N144" s="35">
        <v>44483</v>
      </c>
      <c r="O144" s="4"/>
      <c r="P144" s="5" t="b">
        <v>0</v>
      </c>
      <c r="Q144" s="36">
        <f>E144</f>
        <v>143</v>
      </c>
      <c r="R144" s="36">
        <v>1</v>
      </c>
      <c r="S144" s="3"/>
      <c r="T144" s="39" t="s">
        <v>259</v>
      </c>
      <c r="V144"/>
      <c r="W144"/>
      <c r="X144"/>
      <c r="Y144" s="89"/>
    </row>
    <row r="145" spans="1:25" hidden="1" x14ac:dyDescent="0.35">
      <c r="A145" s="3" t="str">
        <f t="shared" si="2"/>
        <v>Wen_WW_OT</v>
      </c>
      <c r="B145" s="3">
        <v>21</v>
      </c>
      <c r="C145" s="3">
        <v>2</v>
      </c>
      <c r="D145" s="3" t="s">
        <v>17</v>
      </c>
      <c r="E145" s="3">
        <v>143</v>
      </c>
      <c r="F145" s="3" t="s">
        <v>116</v>
      </c>
      <c r="G145" s="3" t="s">
        <v>19</v>
      </c>
      <c r="H145" s="3" t="s">
        <v>20</v>
      </c>
      <c r="I145" s="3" t="s">
        <v>25</v>
      </c>
      <c r="J145" s="3" t="s">
        <v>28</v>
      </c>
      <c r="K145" s="3" t="s">
        <v>27</v>
      </c>
      <c r="L145" s="3">
        <v>2</v>
      </c>
      <c r="M145" s="3"/>
      <c r="N145" s="4">
        <v>44483</v>
      </c>
      <c r="O145" s="4"/>
      <c r="P145" s="5" t="b">
        <v>1</v>
      </c>
      <c r="Q145" s="7">
        <v>144</v>
      </c>
      <c r="R145" s="7"/>
      <c r="S145" s="3"/>
      <c r="T145" s="3"/>
      <c r="V145"/>
      <c r="W145"/>
      <c r="X145"/>
      <c r="Y145" s="89"/>
    </row>
    <row r="146" spans="1:25" hidden="1" x14ac:dyDescent="0.35">
      <c r="A146" s="3" t="str">
        <f t="shared" si="2"/>
        <v>Sto_WW_OT</v>
      </c>
      <c r="B146" s="3">
        <v>17</v>
      </c>
      <c r="C146" s="3">
        <v>3</v>
      </c>
      <c r="D146" s="3" t="s">
        <v>17</v>
      </c>
      <c r="E146" s="34">
        <v>93</v>
      </c>
      <c r="F146" s="3" t="s">
        <v>85</v>
      </c>
      <c r="G146" s="34" t="s">
        <v>19</v>
      </c>
      <c r="H146" s="34" t="s">
        <v>20</v>
      </c>
      <c r="I146" s="34" t="s">
        <v>21</v>
      </c>
      <c r="J146" s="34" t="s">
        <v>22</v>
      </c>
      <c r="K146" s="34" t="s">
        <v>23</v>
      </c>
      <c r="L146" s="34">
        <v>2</v>
      </c>
      <c r="M146" s="34">
        <v>6</v>
      </c>
      <c r="N146" s="35">
        <v>44483</v>
      </c>
      <c r="O146" s="87">
        <v>0.34375</v>
      </c>
      <c r="P146" s="32" t="b">
        <v>0</v>
      </c>
      <c r="Q146" s="36">
        <f>E146</f>
        <v>93</v>
      </c>
      <c r="R146" s="36"/>
      <c r="S146" s="34"/>
      <c r="T146" s="39"/>
      <c r="U146" s="86"/>
      <c r="V146" s="89"/>
      <c r="W146" s="89" t="s">
        <v>302</v>
      </c>
      <c r="X146" s="89"/>
      <c r="Y146" s="89"/>
    </row>
    <row r="147" spans="1:25" hidden="1" x14ac:dyDescent="0.35">
      <c r="A147" s="3" t="str">
        <f t="shared" si="2"/>
        <v>Wen_WS_OT</v>
      </c>
      <c r="B147" s="3">
        <v>20</v>
      </c>
      <c r="C147" s="3">
        <v>3</v>
      </c>
      <c r="D147" s="3" t="s">
        <v>17</v>
      </c>
      <c r="E147" s="34">
        <v>99</v>
      </c>
      <c r="F147" s="3" t="s">
        <v>90</v>
      </c>
      <c r="G147" s="94" t="s">
        <v>19</v>
      </c>
      <c r="H147" s="94" t="s">
        <v>39</v>
      </c>
      <c r="I147" s="94" t="s">
        <v>25</v>
      </c>
      <c r="J147" s="94" t="s">
        <v>22</v>
      </c>
      <c r="K147" s="94" t="s">
        <v>23</v>
      </c>
      <c r="L147" s="94">
        <v>2</v>
      </c>
      <c r="M147" s="34">
        <v>6</v>
      </c>
      <c r="N147" s="95">
        <v>44483</v>
      </c>
      <c r="O147" s="87">
        <v>0.34375</v>
      </c>
      <c r="P147" s="32" t="b">
        <v>0</v>
      </c>
      <c r="Q147" s="96">
        <f>E147</f>
        <v>99</v>
      </c>
      <c r="R147" s="96"/>
      <c r="S147" s="34"/>
      <c r="T147" s="97"/>
      <c r="U147" s="86"/>
      <c r="V147" s="89"/>
      <c r="W147" s="89" t="s">
        <v>302</v>
      </c>
      <c r="X147" s="89"/>
      <c r="Y147" s="89"/>
    </row>
    <row r="148" spans="1:25" x14ac:dyDescent="0.35">
      <c r="A148" s="3" t="str">
        <f t="shared" si="2"/>
        <v>Wen_WW_HS</v>
      </c>
      <c r="B148" s="3">
        <v>2</v>
      </c>
      <c r="C148" s="3">
        <v>5</v>
      </c>
      <c r="D148" s="3" t="s">
        <v>117</v>
      </c>
      <c r="E148" s="3">
        <v>1003</v>
      </c>
      <c r="F148" s="3" t="s">
        <v>120</v>
      </c>
      <c r="G148" s="34" t="s">
        <v>121</v>
      </c>
      <c r="H148" s="34" t="s">
        <v>20</v>
      </c>
      <c r="I148" s="34" t="s">
        <v>25</v>
      </c>
      <c r="J148" s="34" t="s">
        <v>26</v>
      </c>
      <c r="K148" s="34" t="s">
        <v>27</v>
      </c>
      <c r="L148" s="34">
        <v>2</v>
      </c>
      <c r="M148" s="3"/>
      <c r="N148" s="35">
        <v>44483</v>
      </c>
      <c r="O148" s="4"/>
      <c r="P148" s="5" t="b">
        <v>0</v>
      </c>
      <c r="Q148" s="36">
        <f>E148</f>
        <v>1003</v>
      </c>
      <c r="R148" s="36">
        <v>1</v>
      </c>
      <c r="S148" s="3"/>
      <c r="T148" s="39" t="s">
        <v>209</v>
      </c>
      <c r="V148"/>
      <c r="W148"/>
      <c r="X148"/>
      <c r="Y148" s="89"/>
    </row>
    <row r="149" spans="1:25" hidden="1" x14ac:dyDescent="0.35">
      <c r="A149" s="3" t="str">
        <f t="shared" si="2"/>
        <v>Wen_WW_HS</v>
      </c>
      <c r="B149" s="3">
        <v>2</v>
      </c>
      <c r="C149" s="3">
        <v>5</v>
      </c>
      <c r="D149" s="3" t="s">
        <v>117</v>
      </c>
      <c r="E149" s="3">
        <v>1003</v>
      </c>
      <c r="F149" s="3" t="s">
        <v>120</v>
      </c>
      <c r="G149" s="3" t="s">
        <v>121</v>
      </c>
      <c r="H149" s="3" t="s">
        <v>20</v>
      </c>
      <c r="I149" s="3" t="s">
        <v>25</v>
      </c>
      <c r="J149" s="3" t="s">
        <v>28</v>
      </c>
      <c r="K149" s="3" t="s">
        <v>27</v>
      </c>
      <c r="L149" s="3">
        <v>2</v>
      </c>
      <c r="M149" s="3">
        <v>1</v>
      </c>
      <c r="N149" s="4">
        <v>44483</v>
      </c>
      <c r="O149" s="4"/>
      <c r="P149" s="5" t="b">
        <v>1</v>
      </c>
      <c r="Q149" s="7">
        <v>1004</v>
      </c>
      <c r="R149" s="7"/>
      <c r="S149" s="3"/>
      <c r="T149" s="3" t="s">
        <v>222</v>
      </c>
      <c r="V149"/>
      <c r="W149"/>
      <c r="X149"/>
      <c r="Y149" s="89"/>
    </row>
    <row r="150" spans="1:25" ht="43.5" hidden="1" x14ac:dyDescent="0.35">
      <c r="A150" s="3" t="str">
        <f t="shared" si="2"/>
        <v>Sto_WW_HS</v>
      </c>
      <c r="B150" s="3">
        <v>3</v>
      </c>
      <c r="C150" s="3">
        <v>5</v>
      </c>
      <c r="D150" s="3" t="s">
        <v>117</v>
      </c>
      <c r="E150" s="3">
        <v>1005</v>
      </c>
      <c r="F150" s="3" t="s">
        <v>122</v>
      </c>
      <c r="G150" s="34" t="s">
        <v>121</v>
      </c>
      <c r="H150" s="34" t="s">
        <v>20</v>
      </c>
      <c r="I150" s="34" t="s">
        <v>21</v>
      </c>
      <c r="J150" s="34" t="s">
        <v>26</v>
      </c>
      <c r="K150" s="34" t="s">
        <v>27</v>
      </c>
      <c r="L150" s="34">
        <v>2</v>
      </c>
      <c r="M150" s="3">
        <v>1</v>
      </c>
      <c r="N150" s="35">
        <v>44484</v>
      </c>
      <c r="O150" s="4"/>
      <c r="P150" s="5" t="b">
        <v>0</v>
      </c>
      <c r="Q150" s="36">
        <f>E150</f>
        <v>1005</v>
      </c>
      <c r="R150" s="36">
        <v>0</v>
      </c>
      <c r="S150" s="3" t="s">
        <v>123</v>
      </c>
      <c r="T150" s="39" t="s">
        <v>279</v>
      </c>
      <c r="V150"/>
      <c r="W150"/>
      <c r="X150"/>
      <c r="Y150" s="89"/>
    </row>
    <row r="151" spans="1:25" ht="29" x14ac:dyDescent="0.35">
      <c r="A151" s="3" t="str">
        <f t="shared" si="2"/>
        <v>Sto_WW_HS</v>
      </c>
      <c r="B151" s="3">
        <v>3</v>
      </c>
      <c r="C151" s="3">
        <v>5</v>
      </c>
      <c r="D151" s="3" t="s">
        <v>117</v>
      </c>
      <c r="E151" s="3">
        <v>1005</v>
      </c>
      <c r="F151" s="3" t="s">
        <v>122</v>
      </c>
      <c r="G151" s="34" t="s">
        <v>121</v>
      </c>
      <c r="H151" s="34" t="s">
        <v>20</v>
      </c>
      <c r="I151" s="34" t="s">
        <v>21</v>
      </c>
      <c r="J151" s="34" t="s">
        <v>26</v>
      </c>
      <c r="K151" s="34"/>
      <c r="L151" s="34"/>
      <c r="M151" s="3">
        <v>1</v>
      </c>
      <c r="N151" s="35">
        <v>44484</v>
      </c>
      <c r="O151" s="4"/>
      <c r="P151" s="5" t="b">
        <v>1</v>
      </c>
      <c r="Q151" s="36">
        <v>1006</v>
      </c>
      <c r="R151" s="36">
        <v>1</v>
      </c>
      <c r="S151" s="3" t="s">
        <v>124</v>
      </c>
      <c r="T151" s="39" t="s">
        <v>280</v>
      </c>
      <c r="V151"/>
      <c r="W151"/>
      <c r="X151"/>
      <c r="Y151" s="89"/>
    </row>
    <row r="152" spans="1:25" hidden="1" x14ac:dyDescent="0.35">
      <c r="A152" s="3" t="str">
        <f t="shared" si="2"/>
        <v>Wen_WS_OT</v>
      </c>
      <c r="B152" s="3">
        <v>1</v>
      </c>
      <c r="C152" s="3">
        <v>2</v>
      </c>
      <c r="D152" s="3" t="s">
        <v>17</v>
      </c>
      <c r="E152" s="34">
        <v>103</v>
      </c>
      <c r="F152" s="3" t="s">
        <v>92</v>
      </c>
      <c r="G152" s="98" t="s">
        <v>19</v>
      </c>
      <c r="H152" s="98" t="s">
        <v>39</v>
      </c>
      <c r="I152" s="98" t="s">
        <v>25</v>
      </c>
      <c r="J152" s="98" t="s">
        <v>22</v>
      </c>
      <c r="K152" s="98" t="s">
        <v>23</v>
      </c>
      <c r="L152" s="98">
        <v>2</v>
      </c>
      <c r="M152" s="34">
        <v>7</v>
      </c>
      <c r="N152" s="99">
        <v>44483</v>
      </c>
      <c r="O152" s="87">
        <v>0.34375</v>
      </c>
      <c r="P152" s="32" t="b">
        <v>0</v>
      </c>
      <c r="Q152" s="100">
        <f>E152</f>
        <v>103</v>
      </c>
      <c r="R152" s="100"/>
      <c r="S152" s="34"/>
      <c r="T152" s="101"/>
      <c r="U152" s="86" t="s">
        <v>314</v>
      </c>
      <c r="V152" s="89"/>
      <c r="W152" s="89" t="s">
        <v>302</v>
      </c>
      <c r="X152" s="89"/>
      <c r="Y152" s="89"/>
    </row>
    <row r="153" spans="1:25" ht="58" hidden="1" x14ac:dyDescent="0.35">
      <c r="A153" s="3" t="str">
        <f t="shared" si="2"/>
        <v>Sto_WS_OT</v>
      </c>
      <c r="B153" s="3">
        <v>2</v>
      </c>
      <c r="C153" s="3">
        <v>2</v>
      </c>
      <c r="D153" s="3" t="s">
        <v>17</v>
      </c>
      <c r="E153" s="34">
        <v>105</v>
      </c>
      <c r="F153" s="3" t="s">
        <v>93</v>
      </c>
      <c r="G153" s="94" t="s">
        <v>19</v>
      </c>
      <c r="H153" s="94" t="s">
        <v>39</v>
      </c>
      <c r="I153" s="94" t="s">
        <v>21</v>
      </c>
      <c r="J153" s="94" t="s">
        <v>22</v>
      </c>
      <c r="K153" s="94" t="s">
        <v>23</v>
      </c>
      <c r="L153" s="94">
        <v>2</v>
      </c>
      <c r="M153" s="34">
        <v>7</v>
      </c>
      <c r="N153" s="95">
        <v>44483</v>
      </c>
      <c r="O153" s="87">
        <v>0.34375</v>
      </c>
      <c r="P153" s="32" t="b">
        <v>0</v>
      </c>
      <c r="Q153" s="96">
        <f>E153</f>
        <v>105</v>
      </c>
      <c r="R153" s="96"/>
      <c r="S153" s="34"/>
      <c r="T153" s="97"/>
      <c r="U153" s="86"/>
      <c r="V153" s="89" t="s">
        <v>308</v>
      </c>
      <c r="W153" s="89" t="s">
        <v>302</v>
      </c>
      <c r="X153" s="89"/>
      <c r="Y153" s="89"/>
    </row>
    <row r="154" spans="1:25" ht="29" x14ac:dyDescent="0.35">
      <c r="A154" s="3" t="str">
        <f t="shared" si="2"/>
        <v>Sto_WW_HS</v>
      </c>
      <c r="B154" s="3">
        <v>5</v>
      </c>
      <c r="C154" s="3">
        <v>5</v>
      </c>
      <c r="D154" s="3" t="s">
        <v>117</v>
      </c>
      <c r="E154" s="3">
        <v>1009</v>
      </c>
      <c r="F154" s="3" t="s">
        <v>126</v>
      </c>
      <c r="G154" s="34" t="s">
        <v>121</v>
      </c>
      <c r="H154" s="34" t="s">
        <v>20</v>
      </c>
      <c r="I154" s="34" t="s">
        <v>21</v>
      </c>
      <c r="J154" s="34" t="s">
        <v>26</v>
      </c>
      <c r="K154" s="34" t="s">
        <v>27</v>
      </c>
      <c r="L154" s="34">
        <v>2</v>
      </c>
      <c r="M154" s="3">
        <v>2</v>
      </c>
      <c r="N154" s="35">
        <v>44484</v>
      </c>
      <c r="O154" s="4"/>
      <c r="P154" s="5" t="b">
        <v>0</v>
      </c>
      <c r="Q154" s="36">
        <f>E154</f>
        <v>1009</v>
      </c>
      <c r="R154" s="36">
        <v>1</v>
      </c>
      <c r="S154" s="3"/>
      <c r="T154" s="39" t="s">
        <v>280</v>
      </c>
      <c r="V154"/>
      <c r="W154"/>
      <c r="X154"/>
      <c r="Y154" s="89"/>
    </row>
    <row r="155" spans="1:25" ht="29" x14ac:dyDescent="0.35">
      <c r="A155" s="3" t="str">
        <f t="shared" si="2"/>
        <v>Sto_WW_HS</v>
      </c>
      <c r="B155" s="3">
        <v>5</v>
      </c>
      <c r="C155" s="3">
        <v>5</v>
      </c>
      <c r="D155" s="3" t="s">
        <v>117</v>
      </c>
      <c r="E155" s="3">
        <v>1009</v>
      </c>
      <c r="F155" s="3" t="s">
        <v>126</v>
      </c>
      <c r="G155" s="34" t="s">
        <v>121</v>
      </c>
      <c r="H155" s="34" t="s">
        <v>20</v>
      </c>
      <c r="I155" s="34" t="s">
        <v>21</v>
      </c>
      <c r="J155" s="34" t="s">
        <v>26</v>
      </c>
      <c r="K155" s="34" t="s">
        <v>27</v>
      </c>
      <c r="L155" s="34">
        <v>2</v>
      </c>
      <c r="M155" s="3">
        <v>2</v>
      </c>
      <c r="N155" s="35">
        <v>44484</v>
      </c>
      <c r="O155" s="4"/>
      <c r="P155" s="5" t="b">
        <v>1</v>
      </c>
      <c r="Q155" s="36">
        <v>1010</v>
      </c>
      <c r="R155" s="36">
        <v>1</v>
      </c>
      <c r="S155" s="3"/>
      <c r="T155" s="39" t="s">
        <v>280</v>
      </c>
      <c r="V155"/>
      <c r="W155"/>
      <c r="X155"/>
      <c r="Y155" s="89"/>
    </row>
    <row r="156" spans="1:25" ht="29" hidden="1" x14ac:dyDescent="0.35">
      <c r="A156" s="3" t="str">
        <f t="shared" si="2"/>
        <v>Sto_WW_OT</v>
      </c>
      <c r="B156" s="3">
        <v>4</v>
      </c>
      <c r="C156" s="3">
        <v>2</v>
      </c>
      <c r="D156" s="3" t="s">
        <v>17</v>
      </c>
      <c r="E156" s="34">
        <v>109</v>
      </c>
      <c r="F156" s="3" t="s">
        <v>95</v>
      </c>
      <c r="G156" s="98" t="s">
        <v>19</v>
      </c>
      <c r="H156" s="98" t="s">
        <v>20</v>
      </c>
      <c r="I156" s="98" t="s">
        <v>21</v>
      </c>
      <c r="J156" s="98" t="s">
        <v>22</v>
      </c>
      <c r="K156" s="98" t="s">
        <v>23</v>
      </c>
      <c r="L156" s="98">
        <v>2</v>
      </c>
      <c r="M156" s="34">
        <v>7</v>
      </c>
      <c r="N156" s="99">
        <v>44483</v>
      </c>
      <c r="O156" s="87">
        <v>0.4375</v>
      </c>
      <c r="P156" s="32" t="b">
        <v>0</v>
      </c>
      <c r="Q156" s="100">
        <f>E156</f>
        <v>109</v>
      </c>
      <c r="R156" s="100"/>
      <c r="S156" s="34"/>
      <c r="T156" s="102" t="s">
        <v>278</v>
      </c>
      <c r="U156" s="86"/>
      <c r="V156" s="89"/>
      <c r="W156" s="89" t="s">
        <v>302</v>
      </c>
      <c r="X156" s="89"/>
      <c r="Y156" s="89"/>
    </row>
    <row r="157" spans="1:25" hidden="1" x14ac:dyDescent="0.35">
      <c r="A157" s="3" t="str">
        <f t="shared" si="2"/>
        <v>Wen_WW_OT</v>
      </c>
      <c r="B157" s="3">
        <v>5</v>
      </c>
      <c r="C157" s="3">
        <v>2</v>
      </c>
      <c r="D157" s="3" t="s">
        <v>17</v>
      </c>
      <c r="E157" s="34">
        <v>111</v>
      </c>
      <c r="F157" s="3" t="s">
        <v>96</v>
      </c>
      <c r="G157" s="34" t="s">
        <v>19</v>
      </c>
      <c r="H157" s="34" t="s">
        <v>20</v>
      </c>
      <c r="I157" s="34" t="s">
        <v>25</v>
      </c>
      <c r="J157" s="34" t="s">
        <v>22</v>
      </c>
      <c r="K157" s="34" t="s">
        <v>23</v>
      </c>
      <c r="L157" s="34">
        <v>2</v>
      </c>
      <c r="M157" s="34">
        <v>7</v>
      </c>
      <c r="N157" s="35">
        <v>44483</v>
      </c>
      <c r="O157" s="87">
        <v>0.4375</v>
      </c>
      <c r="P157" s="32" t="b">
        <v>0</v>
      </c>
      <c r="Q157" s="36">
        <f>E157</f>
        <v>111</v>
      </c>
      <c r="R157" s="36"/>
      <c r="S157" s="34"/>
      <c r="T157" s="39"/>
      <c r="U157" s="86"/>
      <c r="V157" s="89"/>
      <c r="W157" s="89" t="s">
        <v>302</v>
      </c>
      <c r="X157" s="89"/>
      <c r="Y157" s="89"/>
    </row>
    <row r="158" spans="1:25" ht="43.5" hidden="1" x14ac:dyDescent="0.35">
      <c r="A158" s="3" t="str">
        <f t="shared" si="2"/>
        <v>Wen_WS_OT</v>
      </c>
      <c r="B158" s="3">
        <v>7</v>
      </c>
      <c r="C158" s="3">
        <v>2</v>
      </c>
      <c r="D158" s="3" t="s">
        <v>17</v>
      </c>
      <c r="E158" s="34">
        <v>115</v>
      </c>
      <c r="F158" s="3" t="s">
        <v>100</v>
      </c>
      <c r="G158" s="34" t="s">
        <v>19</v>
      </c>
      <c r="H158" s="34" t="s">
        <v>39</v>
      </c>
      <c r="I158" s="34" t="s">
        <v>25</v>
      </c>
      <c r="J158" s="34" t="s">
        <v>22</v>
      </c>
      <c r="K158" s="34" t="s">
        <v>23</v>
      </c>
      <c r="L158" s="34">
        <v>2</v>
      </c>
      <c r="M158" s="34">
        <v>8</v>
      </c>
      <c r="N158" s="35">
        <v>44483</v>
      </c>
      <c r="O158" s="87">
        <v>0.4375</v>
      </c>
      <c r="P158" s="32" t="b">
        <v>0</v>
      </c>
      <c r="Q158" s="36">
        <f>E158</f>
        <v>115</v>
      </c>
      <c r="R158" s="36"/>
      <c r="S158" s="34"/>
      <c r="T158" s="39"/>
      <c r="U158" s="86"/>
      <c r="V158" s="89" t="s">
        <v>313</v>
      </c>
      <c r="W158" s="89" t="s">
        <v>302</v>
      </c>
      <c r="X158" s="89"/>
      <c r="Y158" s="89"/>
    </row>
    <row r="159" spans="1:25" hidden="1" x14ac:dyDescent="0.35">
      <c r="A159" s="3" t="str">
        <f t="shared" si="2"/>
        <v>Sto_WS_OT</v>
      </c>
      <c r="B159" s="3">
        <v>9</v>
      </c>
      <c r="C159" s="3">
        <v>2</v>
      </c>
      <c r="D159" s="3" t="s">
        <v>17</v>
      </c>
      <c r="E159" s="34">
        <v>119</v>
      </c>
      <c r="F159" s="3" t="s">
        <v>102</v>
      </c>
      <c r="G159" s="94" t="s">
        <v>19</v>
      </c>
      <c r="H159" s="94" t="s">
        <v>39</v>
      </c>
      <c r="I159" s="94" t="s">
        <v>21</v>
      </c>
      <c r="J159" s="94" t="s">
        <v>22</v>
      </c>
      <c r="K159" s="94" t="s">
        <v>23</v>
      </c>
      <c r="L159" s="94">
        <v>2</v>
      </c>
      <c r="M159" s="34">
        <v>8</v>
      </c>
      <c r="N159" s="95">
        <v>44483</v>
      </c>
      <c r="O159" s="87">
        <v>0.42708333333333331</v>
      </c>
      <c r="P159" s="32" t="b">
        <v>0</v>
      </c>
      <c r="Q159" s="96">
        <f>E159</f>
        <v>119</v>
      </c>
      <c r="R159" s="96"/>
      <c r="S159" s="34"/>
      <c r="T159" s="97"/>
      <c r="U159" s="86"/>
      <c r="V159" s="89" t="s">
        <v>300</v>
      </c>
      <c r="W159" s="89" t="s">
        <v>302</v>
      </c>
      <c r="X159" s="89"/>
      <c r="Y159" s="89" t="s">
        <v>302</v>
      </c>
    </row>
    <row r="160" spans="1:25" ht="29" hidden="1" x14ac:dyDescent="0.35">
      <c r="A160" s="3" t="str">
        <f t="shared" si="2"/>
        <v>Wen_WW_HS</v>
      </c>
      <c r="B160" s="3">
        <v>8</v>
      </c>
      <c r="C160" s="3">
        <v>5</v>
      </c>
      <c r="D160" s="3" t="s">
        <v>117</v>
      </c>
      <c r="E160" s="3">
        <v>1015</v>
      </c>
      <c r="F160" s="3" t="s">
        <v>129</v>
      </c>
      <c r="G160" s="34" t="s">
        <v>121</v>
      </c>
      <c r="H160" s="34" t="s">
        <v>20</v>
      </c>
      <c r="I160" s="34" t="s">
        <v>25</v>
      </c>
      <c r="J160" s="34" t="s">
        <v>26</v>
      </c>
      <c r="K160" s="34" t="s">
        <v>27</v>
      </c>
      <c r="L160" s="34">
        <v>2</v>
      </c>
      <c r="M160" s="3">
        <v>2</v>
      </c>
      <c r="N160" s="35">
        <v>44484</v>
      </c>
      <c r="O160" s="4"/>
      <c r="P160" s="5" t="b">
        <v>0</v>
      </c>
      <c r="Q160" s="36">
        <f>E160</f>
        <v>1015</v>
      </c>
      <c r="R160" s="36">
        <v>0</v>
      </c>
      <c r="S160" s="3"/>
      <c r="T160" s="39" t="s">
        <v>281</v>
      </c>
      <c r="V160"/>
      <c r="W160"/>
      <c r="X160"/>
      <c r="Y160" s="89"/>
    </row>
    <row r="161" spans="1:25" ht="29" hidden="1" x14ac:dyDescent="0.35">
      <c r="A161" s="3" t="str">
        <f t="shared" si="2"/>
        <v>Wen_WW_HS</v>
      </c>
      <c r="B161" s="3">
        <v>8</v>
      </c>
      <c r="C161" s="3">
        <v>5</v>
      </c>
      <c r="D161" s="3" t="s">
        <v>117</v>
      </c>
      <c r="E161" s="3">
        <v>1015</v>
      </c>
      <c r="F161" s="3" t="s">
        <v>129</v>
      </c>
      <c r="G161" s="34" t="s">
        <v>121</v>
      </c>
      <c r="H161" s="34" t="s">
        <v>20</v>
      </c>
      <c r="I161" s="34" t="s">
        <v>25</v>
      </c>
      <c r="J161" s="34" t="s">
        <v>26</v>
      </c>
      <c r="K161" s="34" t="s">
        <v>27</v>
      </c>
      <c r="L161" s="34">
        <v>2</v>
      </c>
      <c r="M161" s="3">
        <v>2</v>
      </c>
      <c r="N161" s="35">
        <v>44484</v>
      </c>
      <c r="O161" s="4"/>
      <c r="P161" s="5" t="b">
        <v>1</v>
      </c>
      <c r="Q161" s="36">
        <v>1016</v>
      </c>
      <c r="R161" s="36">
        <v>0</v>
      </c>
      <c r="S161" s="3"/>
      <c r="T161" s="39" t="s">
        <v>281</v>
      </c>
      <c r="V161"/>
      <c r="W161"/>
      <c r="X161"/>
      <c r="Y161" s="89"/>
    </row>
    <row r="162" spans="1:25" hidden="1" x14ac:dyDescent="0.35">
      <c r="A162" s="3" t="str">
        <f t="shared" si="2"/>
        <v>Sto_WW_OT</v>
      </c>
      <c r="B162" s="3">
        <v>13</v>
      </c>
      <c r="C162" s="3">
        <v>2</v>
      </c>
      <c r="D162" s="3" t="s">
        <v>17</v>
      </c>
      <c r="E162" s="34">
        <v>127</v>
      </c>
      <c r="F162" s="3" t="s">
        <v>106</v>
      </c>
      <c r="G162" s="98" t="s">
        <v>19</v>
      </c>
      <c r="H162" s="98" t="s">
        <v>20</v>
      </c>
      <c r="I162" s="98" t="s">
        <v>21</v>
      </c>
      <c r="J162" s="98" t="s">
        <v>22</v>
      </c>
      <c r="K162" s="98" t="s">
        <v>23</v>
      </c>
      <c r="L162" s="98">
        <v>2</v>
      </c>
      <c r="M162" s="34">
        <v>8</v>
      </c>
      <c r="N162" s="99">
        <v>44483</v>
      </c>
      <c r="O162" s="87">
        <v>0.42708333333333331</v>
      </c>
      <c r="P162" s="32" t="b">
        <v>0</v>
      </c>
      <c r="Q162" s="100">
        <f>E162</f>
        <v>127</v>
      </c>
      <c r="R162" s="100"/>
      <c r="S162" s="34"/>
      <c r="T162" s="101"/>
      <c r="U162" s="86"/>
      <c r="V162" s="89"/>
      <c r="W162" s="89" t="s">
        <v>302</v>
      </c>
      <c r="X162" s="89"/>
      <c r="Y162" s="89"/>
    </row>
    <row r="163" spans="1:25" hidden="1" x14ac:dyDescent="0.35">
      <c r="A163" s="3" t="str">
        <f t="shared" si="2"/>
        <v>Sto_WW_HS</v>
      </c>
      <c r="B163" s="3">
        <v>1</v>
      </c>
      <c r="C163" s="3">
        <v>4</v>
      </c>
      <c r="D163" s="3" t="s">
        <v>117</v>
      </c>
      <c r="E163" s="3">
        <v>1017</v>
      </c>
      <c r="F163" s="3" t="s">
        <v>130</v>
      </c>
      <c r="G163" s="3" t="s">
        <v>121</v>
      </c>
      <c r="H163" s="3" t="s">
        <v>20</v>
      </c>
      <c r="I163" s="3" t="s">
        <v>21</v>
      </c>
      <c r="J163" s="3" t="s">
        <v>35</v>
      </c>
      <c r="K163" s="3" t="s">
        <v>23</v>
      </c>
      <c r="L163" s="3">
        <v>2</v>
      </c>
      <c r="M163" s="3">
        <v>1</v>
      </c>
      <c r="N163" s="4">
        <v>44481</v>
      </c>
      <c r="O163" s="54">
        <v>0.38541666666666669</v>
      </c>
      <c r="P163" s="5" t="b">
        <v>1</v>
      </c>
      <c r="Q163" s="7">
        <v>1018</v>
      </c>
      <c r="R163" s="7"/>
      <c r="S163" s="3"/>
      <c r="T163" s="3"/>
      <c r="V163"/>
      <c r="W163"/>
      <c r="X163"/>
      <c r="Y163" s="89"/>
    </row>
    <row r="164" spans="1:25" hidden="1" x14ac:dyDescent="0.35">
      <c r="A164" s="3" t="str">
        <f t="shared" si="2"/>
        <v>Wen_WW_OT</v>
      </c>
      <c r="B164" s="3">
        <v>15</v>
      </c>
      <c r="C164" s="3">
        <v>2</v>
      </c>
      <c r="D164" s="3" t="s">
        <v>17</v>
      </c>
      <c r="E164" s="34">
        <v>131</v>
      </c>
      <c r="F164" s="3" t="s">
        <v>108</v>
      </c>
      <c r="G164" s="34" t="s">
        <v>19</v>
      </c>
      <c r="H164" s="34" t="s">
        <v>20</v>
      </c>
      <c r="I164" s="34" t="s">
        <v>25</v>
      </c>
      <c r="J164" s="34" t="s">
        <v>22</v>
      </c>
      <c r="K164" s="34" t="s">
        <v>23</v>
      </c>
      <c r="L164" s="34">
        <v>2</v>
      </c>
      <c r="M164" s="34">
        <v>8</v>
      </c>
      <c r="N164" s="35">
        <v>44483</v>
      </c>
      <c r="O164" s="87">
        <v>0.42708333333333331</v>
      </c>
      <c r="P164" s="32" t="b">
        <v>0</v>
      </c>
      <c r="Q164" s="36">
        <f>E164</f>
        <v>131</v>
      </c>
      <c r="R164" s="36"/>
      <c r="S164" s="34"/>
      <c r="T164" s="39"/>
      <c r="U164" s="86"/>
      <c r="V164" s="89"/>
      <c r="W164" s="89" t="s">
        <v>302</v>
      </c>
      <c r="X164" s="89"/>
      <c r="Y164" s="89"/>
    </row>
    <row r="165" spans="1:25" hidden="1" x14ac:dyDescent="0.35">
      <c r="A165" s="3" t="str">
        <f t="shared" si="2"/>
        <v>Wen_WW_HS</v>
      </c>
      <c r="B165" s="3">
        <v>2</v>
      </c>
      <c r="C165" s="3">
        <v>4</v>
      </c>
      <c r="D165" s="3" t="s">
        <v>117</v>
      </c>
      <c r="E165" s="3">
        <v>1019</v>
      </c>
      <c r="F165" s="3" t="s">
        <v>131</v>
      </c>
      <c r="G165" s="3" t="s">
        <v>121</v>
      </c>
      <c r="H165" s="3" t="s">
        <v>20</v>
      </c>
      <c r="I165" s="3" t="s">
        <v>25</v>
      </c>
      <c r="J165" s="3" t="s">
        <v>35</v>
      </c>
      <c r="K165" s="3" t="s">
        <v>23</v>
      </c>
      <c r="L165" s="3">
        <v>2</v>
      </c>
      <c r="M165" s="3">
        <v>1</v>
      </c>
      <c r="N165" s="4">
        <v>44481</v>
      </c>
      <c r="O165" s="54">
        <v>0.38541666666666669</v>
      </c>
      <c r="P165" s="5" t="b">
        <v>1</v>
      </c>
      <c r="Q165" s="7">
        <v>1020</v>
      </c>
      <c r="R165" s="7"/>
      <c r="S165" s="3"/>
      <c r="T165" s="3"/>
      <c r="V165"/>
      <c r="W165"/>
      <c r="X165"/>
      <c r="Y165" s="89"/>
    </row>
    <row r="166" spans="1:25" x14ac:dyDescent="0.35">
      <c r="A166" s="3" t="str">
        <f t="shared" si="2"/>
        <v>Wen_WS_HS</v>
      </c>
      <c r="B166" s="3">
        <v>3</v>
      </c>
      <c r="C166" s="3">
        <v>4</v>
      </c>
      <c r="D166" s="3" t="s">
        <v>117</v>
      </c>
      <c r="E166" s="3">
        <v>1021</v>
      </c>
      <c r="F166" s="3" t="s">
        <v>132</v>
      </c>
      <c r="G166" s="34" t="s">
        <v>121</v>
      </c>
      <c r="H166" s="34" t="s">
        <v>39</v>
      </c>
      <c r="I166" s="34" t="s">
        <v>25</v>
      </c>
      <c r="J166" s="34" t="s">
        <v>26</v>
      </c>
      <c r="K166" s="34" t="s">
        <v>27</v>
      </c>
      <c r="L166" s="34">
        <v>2</v>
      </c>
      <c r="M166" s="3">
        <v>1</v>
      </c>
      <c r="N166" s="35">
        <v>44481</v>
      </c>
      <c r="O166" s="4"/>
      <c r="P166" s="5" t="b">
        <v>0</v>
      </c>
      <c r="Q166" s="36">
        <f>E166</f>
        <v>1021</v>
      </c>
      <c r="R166" s="36">
        <v>1</v>
      </c>
      <c r="S166" s="3"/>
      <c r="T166" s="39"/>
      <c r="V166"/>
      <c r="W166"/>
      <c r="X166"/>
      <c r="Y166" s="89"/>
    </row>
    <row r="167" spans="1:25" hidden="1" x14ac:dyDescent="0.35">
      <c r="A167" s="3" t="str">
        <f t="shared" si="2"/>
        <v>Wen_WS_HS</v>
      </c>
      <c r="B167" s="3">
        <v>3</v>
      </c>
      <c r="C167" s="3">
        <v>4</v>
      </c>
      <c r="D167" s="3" t="s">
        <v>117</v>
      </c>
      <c r="E167" s="3">
        <v>1021</v>
      </c>
      <c r="F167" s="3" t="s">
        <v>132</v>
      </c>
      <c r="G167" s="3" t="s">
        <v>121</v>
      </c>
      <c r="H167" s="3" t="s">
        <v>39</v>
      </c>
      <c r="I167" s="3" t="s">
        <v>25</v>
      </c>
      <c r="J167" s="3" t="s">
        <v>28</v>
      </c>
      <c r="K167" s="3" t="s">
        <v>27</v>
      </c>
      <c r="L167" s="3">
        <v>2</v>
      </c>
      <c r="M167" s="3">
        <v>1</v>
      </c>
      <c r="N167" s="4">
        <v>44481</v>
      </c>
      <c r="O167" s="4"/>
      <c r="P167" s="5" t="b">
        <v>1</v>
      </c>
      <c r="Q167" s="7">
        <v>1022</v>
      </c>
      <c r="R167" s="7"/>
      <c r="S167" s="3"/>
      <c r="T167" s="3"/>
      <c r="V167"/>
      <c r="W167"/>
      <c r="X167"/>
      <c r="Y167" s="89"/>
    </row>
    <row r="168" spans="1:25" hidden="1" x14ac:dyDescent="0.35">
      <c r="A168" s="3" t="str">
        <f t="shared" si="2"/>
        <v>Wen_WW_OT</v>
      </c>
      <c r="B168" s="3">
        <v>18</v>
      </c>
      <c r="C168" s="3">
        <v>2</v>
      </c>
      <c r="D168" s="3" t="s">
        <v>17</v>
      </c>
      <c r="E168" s="34">
        <v>137</v>
      </c>
      <c r="F168" s="3" t="s">
        <v>113</v>
      </c>
      <c r="G168" s="34" t="s">
        <v>19</v>
      </c>
      <c r="H168" s="34" t="s">
        <v>20</v>
      </c>
      <c r="I168" s="34" t="s">
        <v>25</v>
      </c>
      <c r="J168" s="34" t="s">
        <v>22</v>
      </c>
      <c r="K168" s="34" t="s">
        <v>23</v>
      </c>
      <c r="L168" s="34">
        <v>2</v>
      </c>
      <c r="M168" s="34">
        <v>3</v>
      </c>
      <c r="N168" s="35">
        <v>44483</v>
      </c>
      <c r="O168" s="87">
        <v>0.42708333333333331</v>
      </c>
      <c r="P168" s="32" t="b">
        <v>0</v>
      </c>
      <c r="Q168" s="36">
        <f>E168</f>
        <v>137</v>
      </c>
      <c r="R168" s="36"/>
      <c r="S168" s="34"/>
      <c r="T168" s="39"/>
      <c r="U168" s="86"/>
      <c r="V168" s="89"/>
      <c r="W168" s="89" t="s">
        <v>302</v>
      </c>
      <c r="X168" s="89"/>
      <c r="Y168" s="89"/>
    </row>
    <row r="169" spans="1:25" hidden="1" x14ac:dyDescent="0.35">
      <c r="A169" s="3" t="str">
        <f t="shared" si="2"/>
        <v>Wen_WS_HS</v>
      </c>
      <c r="B169" s="3">
        <v>4</v>
      </c>
      <c r="C169" s="3">
        <v>4</v>
      </c>
      <c r="D169" s="3" t="s">
        <v>117</v>
      </c>
      <c r="E169" s="3">
        <v>1023</v>
      </c>
      <c r="F169" s="3" t="s">
        <v>133</v>
      </c>
      <c r="G169" s="3" t="s">
        <v>121</v>
      </c>
      <c r="H169" s="3" t="s">
        <v>39</v>
      </c>
      <c r="I169" s="3" t="s">
        <v>25</v>
      </c>
      <c r="J169" s="3" t="s">
        <v>35</v>
      </c>
      <c r="K169" s="3" t="s">
        <v>23</v>
      </c>
      <c r="L169" s="3">
        <v>2</v>
      </c>
      <c r="M169" s="3">
        <v>1</v>
      </c>
      <c r="N169" s="4">
        <v>44481</v>
      </c>
      <c r="O169" s="54">
        <v>0.38541666666666669</v>
      </c>
      <c r="P169" s="5" t="b">
        <v>1</v>
      </c>
      <c r="Q169" s="7">
        <v>1024</v>
      </c>
      <c r="R169" s="7"/>
      <c r="S169" s="3"/>
      <c r="T169" s="3"/>
      <c r="V169"/>
      <c r="W169"/>
      <c r="X169"/>
      <c r="Y169" s="89"/>
    </row>
    <row r="170" spans="1:25" hidden="1" x14ac:dyDescent="0.35">
      <c r="A170" s="3" t="str">
        <f t="shared" si="2"/>
        <v>Sto_WW_OT</v>
      </c>
      <c r="B170" s="3">
        <v>19</v>
      </c>
      <c r="C170" s="3">
        <v>2</v>
      </c>
      <c r="D170" s="3" t="s">
        <v>17</v>
      </c>
      <c r="E170" s="34">
        <v>139</v>
      </c>
      <c r="F170" s="3" t="s">
        <v>114</v>
      </c>
      <c r="G170" s="34" t="s">
        <v>19</v>
      </c>
      <c r="H170" s="34" t="s">
        <v>20</v>
      </c>
      <c r="I170" s="34" t="s">
        <v>21</v>
      </c>
      <c r="J170" s="34" t="s">
        <v>22</v>
      </c>
      <c r="K170" s="34" t="s">
        <v>27</v>
      </c>
      <c r="L170" s="34">
        <v>2</v>
      </c>
      <c r="M170" s="34">
        <v>3</v>
      </c>
      <c r="N170" s="35">
        <v>44483</v>
      </c>
      <c r="O170" s="87">
        <v>0.42708333333333331</v>
      </c>
      <c r="P170" s="32" t="b">
        <v>0</v>
      </c>
      <c r="Q170" s="36">
        <f>E170</f>
        <v>139</v>
      </c>
      <c r="R170" s="36"/>
      <c r="S170" s="34"/>
      <c r="T170" s="39"/>
      <c r="U170" s="86"/>
      <c r="V170" s="89"/>
      <c r="W170" s="89" t="s">
        <v>302</v>
      </c>
      <c r="X170" s="89"/>
      <c r="Y170" s="89"/>
    </row>
    <row r="171" spans="1:25" hidden="1" x14ac:dyDescent="0.35">
      <c r="A171" s="3" t="str">
        <f t="shared" si="2"/>
        <v>Sto_WS_HS</v>
      </c>
      <c r="B171" s="3">
        <v>5</v>
      </c>
      <c r="C171" s="3">
        <v>4</v>
      </c>
      <c r="D171" s="3" t="s">
        <v>117</v>
      </c>
      <c r="E171" s="3">
        <v>1025</v>
      </c>
      <c r="F171" s="3" t="s">
        <v>134</v>
      </c>
      <c r="G171" s="3" t="s">
        <v>121</v>
      </c>
      <c r="H171" s="3" t="s">
        <v>39</v>
      </c>
      <c r="I171" s="3" t="s">
        <v>21</v>
      </c>
      <c r="J171" s="3" t="s">
        <v>35</v>
      </c>
      <c r="K171" s="3" t="s">
        <v>23</v>
      </c>
      <c r="L171" s="3">
        <v>2</v>
      </c>
      <c r="M171" s="3">
        <v>1</v>
      </c>
      <c r="N171" s="4">
        <v>44481</v>
      </c>
      <c r="O171" s="54">
        <v>0.38541666666666669</v>
      </c>
      <c r="P171" s="5" t="b">
        <v>1</v>
      </c>
      <c r="Q171" s="7">
        <v>1026</v>
      </c>
      <c r="R171" s="7"/>
      <c r="S171" s="3"/>
      <c r="T171" s="3"/>
      <c r="V171"/>
      <c r="W171"/>
      <c r="X171"/>
      <c r="Y171" s="89"/>
    </row>
    <row r="172" spans="1:25" hidden="1" x14ac:dyDescent="0.35">
      <c r="A172" s="3" t="str">
        <f t="shared" si="2"/>
        <v>Sto_WW_HS</v>
      </c>
      <c r="B172" s="3">
        <v>1</v>
      </c>
      <c r="C172" s="3">
        <v>4</v>
      </c>
      <c r="D172" s="3" t="s">
        <v>117</v>
      </c>
      <c r="E172" s="34">
        <v>1017</v>
      </c>
      <c r="F172" s="3" t="s">
        <v>130</v>
      </c>
      <c r="G172" s="34" t="s">
        <v>121</v>
      </c>
      <c r="H172" s="34" t="s">
        <v>20</v>
      </c>
      <c r="I172" s="34" t="s">
        <v>21</v>
      </c>
      <c r="J172" s="34" t="s">
        <v>22</v>
      </c>
      <c r="K172" s="34" t="s">
        <v>23</v>
      </c>
      <c r="L172" s="34">
        <v>2</v>
      </c>
      <c r="M172" s="34">
        <v>1</v>
      </c>
      <c r="N172" s="35">
        <v>44481</v>
      </c>
      <c r="O172" s="87">
        <v>0.38541666666666669</v>
      </c>
      <c r="P172" s="32" t="b">
        <v>0</v>
      </c>
      <c r="Q172" s="36">
        <f>E172</f>
        <v>1017</v>
      </c>
      <c r="R172" s="36"/>
      <c r="S172" s="34"/>
      <c r="T172" s="39"/>
      <c r="U172" s="86"/>
      <c r="V172" s="89"/>
      <c r="W172" s="89" t="s">
        <v>302</v>
      </c>
      <c r="X172" s="89"/>
      <c r="Y172" s="89"/>
    </row>
    <row r="173" spans="1:25" hidden="1" x14ac:dyDescent="0.35">
      <c r="A173" s="3" t="str">
        <f t="shared" si="2"/>
        <v>Sto_WW_HS</v>
      </c>
      <c r="B173" s="3">
        <v>6</v>
      </c>
      <c r="C173" s="3">
        <v>4</v>
      </c>
      <c r="D173" s="3" t="s">
        <v>117</v>
      </c>
      <c r="E173" s="3">
        <v>1027</v>
      </c>
      <c r="F173" s="3" t="s">
        <v>135</v>
      </c>
      <c r="G173" s="3" t="s">
        <v>121</v>
      </c>
      <c r="H173" s="3" t="s">
        <v>20</v>
      </c>
      <c r="I173" s="3" t="s">
        <v>21</v>
      </c>
      <c r="J173" s="3" t="s">
        <v>35</v>
      </c>
      <c r="K173" s="3" t="s">
        <v>23</v>
      </c>
      <c r="L173" s="3">
        <v>2</v>
      </c>
      <c r="M173" s="3">
        <v>2</v>
      </c>
      <c r="N173" s="4">
        <v>44481</v>
      </c>
      <c r="O173" s="54">
        <v>0.38541666666666669</v>
      </c>
      <c r="P173" s="5" t="b">
        <v>1</v>
      </c>
      <c r="Q173" s="7">
        <v>1028</v>
      </c>
      <c r="R173" s="7"/>
      <c r="S173" s="3"/>
      <c r="T173" s="3"/>
      <c r="V173"/>
      <c r="W173"/>
      <c r="X173"/>
      <c r="Y173" s="89"/>
    </row>
    <row r="174" spans="1:25" hidden="1" x14ac:dyDescent="0.35">
      <c r="A174" s="3" t="str">
        <f t="shared" si="2"/>
        <v>Wen_WW_HS</v>
      </c>
      <c r="B174" s="3">
        <v>2</v>
      </c>
      <c r="C174" s="3">
        <v>4</v>
      </c>
      <c r="D174" s="3" t="s">
        <v>117</v>
      </c>
      <c r="E174" s="34">
        <v>1019</v>
      </c>
      <c r="F174" s="3" t="s">
        <v>131</v>
      </c>
      <c r="G174" s="34" t="s">
        <v>121</v>
      </c>
      <c r="H174" s="34" t="s">
        <v>20</v>
      </c>
      <c r="I174" s="34" t="s">
        <v>25</v>
      </c>
      <c r="J174" s="34" t="s">
        <v>22</v>
      </c>
      <c r="K174" s="34" t="s">
        <v>23</v>
      </c>
      <c r="L174" s="34">
        <v>2</v>
      </c>
      <c r="M174" s="34">
        <v>1</v>
      </c>
      <c r="N174" s="35">
        <v>44481</v>
      </c>
      <c r="O174" s="87">
        <v>0.38541666666666669</v>
      </c>
      <c r="P174" s="32" t="b">
        <v>0</v>
      </c>
      <c r="Q174" s="36">
        <f>E174</f>
        <v>1019</v>
      </c>
      <c r="R174" s="36"/>
      <c r="S174" s="34"/>
      <c r="T174" s="39"/>
      <c r="U174" s="86"/>
      <c r="V174" s="89" t="s">
        <v>301</v>
      </c>
      <c r="W174" s="89" t="s">
        <v>302</v>
      </c>
      <c r="X174" s="89"/>
      <c r="Y174" s="89" t="s">
        <v>302</v>
      </c>
    </row>
    <row r="175" spans="1:25" hidden="1" x14ac:dyDescent="0.35">
      <c r="A175" s="3" t="str">
        <f t="shared" si="2"/>
        <v>Wen_WW_HS</v>
      </c>
      <c r="B175" s="3">
        <v>7</v>
      </c>
      <c r="C175" s="3">
        <v>4</v>
      </c>
      <c r="D175" s="3" t="s">
        <v>117</v>
      </c>
      <c r="E175" s="3">
        <v>1029</v>
      </c>
      <c r="F175" s="3" t="s">
        <v>136</v>
      </c>
      <c r="G175" s="3" t="s">
        <v>121</v>
      </c>
      <c r="H175" s="3" t="s">
        <v>20</v>
      </c>
      <c r="I175" s="3" t="s">
        <v>25</v>
      </c>
      <c r="J175" s="3" t="s">
        <v>35</v>
      </c>
      <c r="K175" s="3" t="s">
        <v>23</v>
      </c>
      <c r="L175" s="3">
        <v>2</v>
      </c>
      <c r="M175" s="3">
        <v>2</v>
      </c>
      <c r="N175" s="4">
        <v>44481</v>
      </c>
      <c r="O175" s="54">
        <v>0.38541666666666669</v>
      </c>
      <c r="P175" s="5" t="b">
        <v>1</v>
      </c>
      <c r="Q175" s="7">
        <v>1030</v>
      </c>
      <c r="R175" s="7"/>
      <c r="S175" s="3"/>
      <c r="T175" s="3"/>
      <c r="V175"/>
      <c r="W175"/>
      <c r="X175"/>
      <c r="Y175" s="89"/>
    </row>
    <row r="176" spans="1:25" x14ac:dyDescent="0.35">
      <c r="A176" s="3" t="str">
        <f t="shared" si="2"/>
        <v>Sto_WW_HS</v>
      </c>
      <c r="B176" s="3">
        <v>8</v>
      </c>
      <c r="C176" s="3">
        <v>4</v>
      </c>
      <c r="D176" s="3" t="s">
        <v>117</v>
      </c>
      <c r="E176" s="3">
        <v>1031</v>
      </c>
      <c r="F176" s="3" t="s">
        <v>137</v>
      </c>
      <c r="G176" s="34" t="s">
        <v>121</v>
      </c>
      <c r="H176" s="34" t="s">
        <v>20</v>
      </c>
      <c r="I176" s="34" t="s">
        <v>21</v>
      </c>
      <c r="J176" s="34" t="s">
        <v>26</v>
      </c>
      <c r="K176" s="34" t="s">
        <v>27</v>
      </c>
      <c r="L176" s="34">
        <v>2</v>
      </c>
      <c r="M176" s="3">
        <v>1</v>
      </c>
      <c r="N176" s="35">
        <v>44481</v>
      </c>
      <c r="O176" s="4"/>
      <c r="P176" s="5" t="b">
        <v>0</v>
      </c>
      <c r="Q176" s="36">
        <f>E176</f>
        <v>1031</v>
      </c>
      <c r="R176" s="36">
        <v>1</v>
      </c>
      <c r="S176" s="3"/>
      <c r="T176" s="39"/>
      <c r="V176"/>
      <c r="W176"/>
      <c r="X176"/>
      <c r="Y176" s="89"/>
    </row>
    <row r="177" spans="1:25" hidden="1" x14ac:dyDescent="0.35">
      <c r="A177" s="3" t="str">
        <f t="shared" si="2"/>
        <v>Sto_WW_HS</v>
      </c>
      <c r="B177" s="3">
        <v>8</v>
      </c>
      <c r="C177" s="3">
        <v>4</v>
      </c>
      <c r="D177" s="3" t="s">
        <v>117</v>
      </c>
      <c r="E177" s="3">
        <v>1031</v>
      </c>
      <c r="F177" s="3" t="s">
        <v>137</v>
      </c>
      <c r="G177" s="3" t="s">
        <v>121</v>
      </c>
      <c r="H177" s="3" t="s">
        <v>20</v>
      </c>
      <c r="I177" s="3" t="s">
        <v>21</v>
      </c>
      <c r="J177" s="3" t="s">
        <v>28</v>
      </c>
      <c r="K177" s="3" t="s">
        <v>27</v>
      </c>
      <c r="L177" s="3">
        <v>2</v>
      </c>
      <c r="M177" s="3">
        <v>1</v>
      </c>
      <c r="N177" s="4">
        <v>44481</v>
      </c>
      <c r="O177" s="4"/>
      <c r="P177" s="5" t="b">
        <v>1</v>
      </c>
      <c r="Q177" s="7">
        <v>1032</v>
      </c>
      <c r="R177" s="7"/>
      <c r="S177" s="3"/>
      <c r="T177" s="3"/>
      <c r="V177"/>
      <c r="W177"/>
      <c r="X177"/>
      <c r="Y177" s="89"/>
    </row>
    <row r="178" spans="1:25" hidden="1" x14ac:dyDescent="0.35">
      <c r="A178" s="3" t="str">
        <f t="shared" si="2"/>
        <v>Wen_WS_HS</v>
      </c>
      <c r="B178" s="3">
        <v>4</v>
      </c>
      <c r="C178" s="3">
        <v>4</v>
      </c>
      <c r="D178" s="3" t="s">
        <v>117</v>
      </c>
      <c r="E178" s="34">
        <v>1023</v>
      </c>
      <c r="F178" s="3" t="s">
        <v>133</v>
      </c>
      <c r="G178" s="34" t="s">
        <v>121</v>
      </c>
      <c r="H178" s="34" t="s">
        <v>39</v>
      </c>
      <c r="I178" s="34" t="s">
        <v>25</v>
      </c>
      <c r="J178" s="34" t="s">
        <v>22</v>
      </c>
      <c r="K178" s="34" t="s">
        <v>23</v>
      </c>
      <c r="L178" s="34">
        <v>2</v>
      </c>
      <c r="M178" s="34">
        <v>1</v>
      </c>
      <c r="N178" s="35">
        <v>44481</v>
      </c>
      <c r="O178" s="87">
        <v>0.38541666666666669</v>
      </c>
      <c r="P178" s="32" t="b">
        <v>0</v>
      </c>
      <c r="Q178" s="36">
        <f>E178</f>
        <v>1023</v>
      </c>
      <c r="R178" s="36"/>
      <c r="S178" s="34"/>
      <c r="T178" s="39"/>
      <c r="U178" s="86" t="s">
        <v>304</v>
      </c>
      <c r="V178" s="89"/>
      <c r="W178" s="89" t="s">
        <v>302</v>
      </c>
      <c r="X178" s="89"/>
      <c r="Y178" s="89"/>
    </row>
    <row r="179" spans="1:25" hidden="1" x14ac:dyDescent="0.35">
      <c r="A179" s="3" t="str">
        <f t="shared" si="2"/>
        <v>Wen_WS_HS</v>
      </c>
      <c r="B179" s="3">
        <v>9</v>
      </c>
      <c r="C179" s="3">
        <v>4</v>
      </c>
      <c r="D179" s="3" t="s">
        <v>117</v>
      </c>
      <c r="E179" s="3">
        <v>1033</v>
      </c>
      <c r="F179" s="3" t="s">
        <v>138</v>
      </c>
      <c r="G179" s="3" t="s">
        <v>121</v>
      </c>
      <c r="H179" s="3" t="s">
        <v>39</v>
      </c>
      <c r="I179" s="3" t="s">
        <v>25</v>
      </c>
      <c r="J179" s="3" t="s">
        <v>35</v>
      </c>
      <c r="K179" s="3" t="s">
        <v>23</v>
      </c>
      <c r="L179" s="3">
        <v>2</v>
      </c>
      <c r="M179" s="3">
        <v>2</v>
      </c>
      <c r="N179" s="4">
        <v>44481</v>
      </c>
      <c r="O179" s="54">
        <v>0.50694444444444442</v>
      </c>
      <c r="P179" s="5" t="b">
        <v>1</v>
      </c>
      <c r="Q179" s="7">
        <v>1034</v>
      </c>
      <c r="R179" s="7"/>
      <c r="S179" s="3"/>
      <c r="T179" s="3"/>
      <c r="V179"/>
      <c r="W179"/>
      <c r="X179"/>
      <c r="Y179" s="89"/>
    </row>
    <row r="180" spans="1:25" ht="29" x14ac:dyDescent="0.35">
      <c r="A180" s="3" t="str">
        <f t="shared" si="2"/>
        <v>Wen_WW_HS</v>
      </c>
      <c r="B180" s="3">
        <v>10</v>
      </c>
      <c r="C180" s="3">
        <v>4</v>
      </c>
      <c r="D180" s="3" t="s">
        <v>117</v>
      </c>
      <c r="E180" s="3">
        <v>1035</v>
      </c>
      <c r="F180" s="3" t="s">
        <v>139</v>
      </c>
      <c r="G180" s="34" t="s">
        <v>121</v>
      </c>
      <c r="H180" s="34" t="s">
        <v>20</v>
      </c>
      <c r="I180" s="34" t="s">
        <v>25</v>
      </c>
      <c r="J180" s="34" t="s">
        <v>26</v>
      </c>
      <c r="K180" s="34" t="s">
        <v>27</v>
      </c>
      <c r="L180" s="34">
        <v>2</v>
      </c>
      <c r="M180" s="3">
        <v>1</v>
      </c>
      <c r="N180" s="35">
        <v>44484</v>
      </c>
      <c r="O180" s="4"/>
      <c r="P180" s="5" t="b">
        <v>0</v>
      </c>
      <c r="Q180" s="36">
        <f>E180</f>
        <v>1035</v>
      </c>
      <c r="R180" s="36">
        <v>1</v>
      </c>
      <c r="S180" s="3" t="s">
        <v>140</v>
      </c>
      <c r="T180" s="39" t="s">
        <v>282</v>
      </c>
      <c r="V180"/>
      <c r="W180"/>
      <c r="X180"/>
      <c r="Y180" s="89"/>
    </row>
    <row r="181" spans="1:25" ht="29" hidden="1" x14ac:dyDescent="0.35">
      <c r="A181" s="3" t="str">
        <f t="shared" si="2"/>
        <v>Sto_WS_HS</v>
      </c>
      <c r="B181" s="3">
        <v>5</v>
      </c>
      <c r="C181" s="3">
        <v>4</v>
      </c>
      <c r="D181" s="3" t="s">
        <v>117</v>
      </c>
      <c r="E181" s="34">
        <v>1025</v>
      </c>
      <c r="F181" s="3" t="s">
        <v>134</v>
      </c>
      <c r="G181" s="98" t="s">
        <v>121</v>
      </c>
      <c r="H181" s="98" t="s">
        <v>39</v>
      </c>
      <c r="I181" s="98" t="s">
        <v>21</v>
      </c>
      <c r="J181" s="98" t="s">
        <v>22</v>
      </c>
      <c r="K181" s="98" t="s">
        <v>23</v>
      </c>
      <c r="L181" s="98">
        <v>2</v>
      </c>
      <c r="M181" s="34">
        <v>1</v>
      </c>
      <c r="N181" s="99">
        <v>44481</v>
      </c>
      <c r="O181" s="87">
        <v>0.38541666666666669</v>
      </c>
      <c r="P181" s="32" t="b">
        <v>0</v>
      </c>
      <c r="Q181" s="100">
        <f>E181</f>
        <v>1025</v>
      </c>
      <c r="R181" s="100"/>
      <c r="S181" s="34"/>
      <c r="T181" s="101"/>
      <c r="U181" s="86"/>
      <c r="V181" s="89" t="s">
        <v>309</v>
      </c>
      <c r="W181" s="89" t="s">
        <v>302</v>
      </c>
      <c r="X181" s="89"/>
      <c r="Y181" s="89"/>
    </row>
    <row r="182" spans="1:25" hidden="1" x14ac:dyDescent="0.35">
      <c r="A182" s="3" t="str">
        <f t="shared" si="2"/>
        <v>Sto_WW_HS</v>
      </c>
      <c r="B182" s="3">
        <v>6</v>
      </c>
      <c r="C182" s="3">
        <v>4</v>
      </c>
      <c r="D182" s="3" t="s">
        <v>117</v>
      </c>
      <c r="E182" s="34">
        <v>1027</v>
      </c>
      <c r="F182" s="3" t="s">
        <v>135</v>
      </c>
      <c r="G182" s="34" t="s">
        <v>121</v>
      </c>
      <c r="H182" s="34" t="s">
        <v>20</v>
      </c>
      <c r="I182" s="34" t="s">
        <v>21</v>
      </c>
      <c r="J182" s="34" t="s">
        <v>22</v>
      </c>
      <c r="K182" s="34" t="s">
        <v>23</v>
      </c>
      <c r="L182" s="34">
        <v>2</v>
      </c>
      <c r="M182" s="34">
        <v>2</v>
      </c>
      <c r="N182" s="35">
        <v>44481</v>
      </c>
      <c r="O182" s="87">
        <v>0.38541666666666669</v>
      </c>
      <c r="P182" s="32" t="b">
        <v>0</v>
      </c>
      <c r="Q182" s="36">
        <f>E182</f>
        <v>1027</v>
      </c>
      <c r="R182" s="36"/>
      <c r="S182" s="34"/>
      <c r="T182" s="39"/>
      <c r="U182" s="86"/>
      <c r="V182" s="89"/>
      <c r="W182" s="89" t="s">
        <v>302</v>
      </c>
      <c r="X182" s="89"/>
      <c r="Y182" s="89"/>
    </row>
    <row r="183" spans="1:25" ht="29" hidden="1" x14ac:dyDescent="0.35">
      <c r="A183" s="3" t="str">
        <f t="shared" si="2"/>
        <v>Sto_WS_HS</v>
      </c>
      <c r="B183" s="3">
        <v>11</v>
      </c>
      <c r="C183" s="3">
        <v>4</v>
      </c>
      <c r="D183" s="3" t="s">
        <v>117</v>
      </c>
      <c r="E183" s="34">
        <v>1037</v>
      </c>
      <c r="F183" s="3" t="s">
        <v>142</v>
      </c>
      <c r="G183" s="34" t="s">
        <v>121</v>
      </c>
      <c r="H183" s="34" t="s">
        <v>39</v>
      </c>
      <c r="I183" s="34" t="s">
        <v>21</v>
      </c>
      <c r="J183" s="34"/>
      <c r="K183" s="34" t="s">
        <v>23</v>
      </c>
      <c r="L183" s="34"/>
      <c r="M183" s="34">
        <v>2</v>
      </c>
      <c r="N183" s="35"/>
      <c r="O183" s="87">
        <v>0.50694444444444442</v>
      </c>
      <c r="P183" s="32" t="b">
        <v>1</v>
      </c>
      <c r="Q183" s="36">
        <v>1038</v>
      </c>
      <c r="R183" s="36"/>
      <c r="S183" s="34"/>
      <c r="T183" s="39" t="s">
        <v>223</v>
      </c>
      <c r="U183" s="86"/>
      <c r="V183" s="89"/>
      <c r="W183" s="89"/>
      <c r="X183" s="89"/>
      <c r="Y183" s="89" t="s">
        <v>302</v>
      </c>
    </row>
    <row r="184" spans="1:25" hidden="1" x14ac:dyDescent="0.35">
      <c r="A184" s="3" t="str">
        <f t="shared" si="2"/>
        <v>Wen_WW_HS</v>
      </c>
      <c r="B184" s="3">
        <v>7</v>
      </c>
      <c r="C184" s="3">
        <v>4</v>
      </c>
      <c r="D184" s="3" t="s">
        <v>117</v>
      </c>
      <c r="E184" s="34">
        <v>1029</v>
      </c>
      <c r="F184" s="3" t="s">
        <v>136</v>
      </c>
      <c r="G184" s="34" t="s">
        <v>121</v>
      </c>
      <c r="H184" s="34" t="s">
        <v>20</v>
      </c>
      <c r="I184" s="34" t="s">
        <v>25</v>
      </c>
      <c r="J184" s="34" t="s">
        <v>22</v>
      </c>
      <c r="K184" s="34" t="s">
        <v>23</v>
      </c>
      <c r="L184" s="34">
        <v>2</v>
      </c>
      <c r="M184" s="34">
        <v>2</v>
      </c>
      <c r="N184" s="35">
        <v>44481</v>
      </c>
      <c r="O184" s="87">
        <v>0.38541666666666669</v>
      </c>
      <c r="P184" s="32" t="b">
        <v>0</v>
      </c>
      <c r="Q184" s="36">
        <f>E184</f>
        <v>1029</v>
      </c>
      <c r="R184" s="36"/>
      <c r="S184" s="34"/>
      <c r="T184" s="39"/>
      <c r="U184" s="86"/>
      <c r="V184" s="89"/>
      <c r="W184" s="89" t="s">
        <v>302</v>
      </c>
      <c r="X184" s="89"/>
      <c r="Y184" s="89"/>
    </row>
    <row r="185" spans="1:25" hidden="1" x14ac:dyDescent="0.35">
      <c r="A185" s="3" t="str">
        <f t="shared" si="2"/>
        <v>Sto_WW_HS</v>
      </c>
      <c r="B185" s="3">
        <v>12</v>
      </c>
      <c r="C185" s="3">
        <v>4</v>
      </c>
      <c r="D185" s="3" t="s">
        <v>117</v>
      </c>
      <c r="E185" s="3">
        <v>1039</v>
      </c>
      <c r="F185" s="3" t="s">
        <v>143</v>
      </c>
      <c r="G185" s="3" t="s">
        <v>121</v>
      </c>
      <c r="H185" s="3" t="s">
        <v>20</v>
      </c>
      <c r="I185" s="3" t="s">
        <v>21</v>
      </c>
      <c r="J185" s="3" t="s">
        <v>35</v>
      </c>
      <c r="K185" s="3" t="s">
        <v>23</v>
      </c>
      <c r="L185" s="3">
        <v>2</v>
      </c>
      <c r="M185" s="3">
        <v>3</v>
      </c>
      <c r="N185" s="4">
        <v>44481</v>
      </c>
      <c r="O185" s="54">
        <v>0.50694444444444442</v>
      </c>
      <c r="P185" s="5" t="b">
        <v>1</v>
      </c>
      <c r="Q185" s="7">
        <v>1040</v>
      </c>
      <c r="R185" s="7"/>
      <c r="S185" s="3"/>
      <c r="T185" s="3"/>
      <c r="V185"/>
      <c r="W185"/>
      <c r="X185"/>
      <c r="Y185" s="89"/>
    </row>
    <row r="186" spans="1:25" hidden="1" x14ac:dyDescent="0.35">
      <c r="A186" s="3" t="str">
        <f t="shared" si="2"/>
        <v>Sto_WS_HS</v>
      </c>
      <c r="B186" s="3">
        <v>13</v>
      </c>
      <c r="C186" s="3">
        <v>4</v>
      </c>
      <c r="D186" s="3" t="s">
        <v>117</v>
      </c>
      <c r="E186" s="34">
        <v>1041</v>
      </c>
      <c r="F186" s="3" t="s">
        <v>144</v>
      </c>
      <c r="G186" s="34" t="s">
        <v>121</v>
      </c>
      <c r="H186" s="34" t="s">
        <v>39</v>
      </c>
      <c r="I186" s="34" t="s">
        <v>21</v>
      </c>
      <c r="J186" s="34"/>
      <c r="K186" s="34"/>
      <c r="L186" s="34"/>
      <c r="M186" s="34">
        <v>3</v>
      </c>
      <c r="N186" s="35"/>
      <c r="O186" s="35"/>
      <c r="P186" s="32" t="b">
        <v>0</v>
      </c>
      <c r="Q186" s="36">
        <f>E186</f>
        <v>1041</v>
      </c>
      <c r="R186" s="36"/>
      <c r="S186" s="34" t="s">
        <v>145</v>
      </c>
      <c r="T186" s="39" t="s">
        <v>208</v>
      </c>
      <c r="U186" s="86" t="s">
        <v>302</v>
      </c>
      <c r="V186" s="89"/>
      <c r="W186" s="89"/>
      <c r="X186" s="89"/>
      <c r="Y186" s="89" t="s">
        <v>302</v>
      </c>
    </row>
    <row r="187" spans="1:25" hidden="1" x14ac:dyDescent="0.35">
      <c r="A187" s="3" t="str">
        <f t="shared" si="2"/>
        <v>Sto_WS_HS</v>
      </c>
      <c r="B187" s="3">
        <v>13</v>
      </c>
      <c r="C187" s="3">
        <v>4</v>
      </c>
      <c r="D187" s="3" t="s">
        <v>117</v>
      </c>
      <c r="E187" s="3">
        <v>1041</v>
      </c>
      <c r="F187" s="3" t="s">
        <v>144</v>
      </c>
      <c r="G187" s="3" t="s">
        <v>121</v>
      </c>
      <c r="H187" s="3" t="s">
        <v>39</v>
      </c>
      <c r="I187" s="3" t="s">
        <v>21</v>
      </c>
      <c r="J187" s="3" t="s">
        <v>35</v>
      </c>
      <c r="K187" s="3" t="s">
        <v>23</v>
      </c>
      <c r="L187" s="3">
        <v>2</v>
      </c>
      <c r="M187" s="3">
        <v>3</v>
      </c>
      <c r="N187" s="4">
        <v>44483</v>
      </c>
      <c r="O187" s="54">
        <v>0.5</v>
      </c>
      <c r="P187" s="5" t="b">
        <v>1</v>
      </c>
      <c r="Q187" s="7">
        <v>1042</v>
      </c>
      <c r="R187" s="7"/>
      <c r="S187" s="3" t="s">
        <v>146</v>
      </c>
      <c r="T187" s="3"/>
      <c r="V187"/>
      <c r="W187"/>
      <c r="X187"/>
      <c r="Y187" s="89"/>
    </row>
    <row r="188" spans="1:25" hidden="1" x14ac:dyDescent="0.35">
      <c r="A188" s="3" t="str">
        <f t="shared" si="2"/>
        <v>Wen_WS_HS</v>
      </c>
      <c r="B188" s="3">
        <v>9</v>
      </c>
      <c r="C188" s="3">
        <v>4</v>
      </c>
      <c r="D188" s="3" t="s">
        <v>117</v>
      </c>
      <c r="E188" s="34">
        <v>1033</v>
      </c>
      <c r="F188" s="3" t="s">
        <v>138</v>
      </c>
      <c r="G188" s="34" t="s">
        <v>121</v>
      </c>
      <c r="H188" s="34" t="s">
        <v>39</v>
      </c>
      <c r="I188" s="34" t="s">
        <v>25</v>
      </c>
      <c r="J188" s="34" t="s">
        <v>22</v>
      </c>
      <c r="K188" s="34" t="s">
        <v>23</v>
      </c>
      <c r="L188" s="34">
        <v>2</v>
      </c>
      <c r="M188" s="34">
        <v>2</v>
      </c>
      <c r="N188" s="35">
        <v>44481</v>
      </c>
      <c r="O188" s="87">
        <v>0.50694444444444442</v>
      </c>
      <c r="P188" s="32" t="b">
        <v>0</v>
      </c>
      <c r="Q188" s="36">
        <f>E188</f>
        <v>1033</v>
      </c>
      <c r="R188" s="36"/>
      <c r="S188" s="34"/>
      <c r="T188" s="39"/>
      <c r="U188" s="86"/>
      <c r="V188" s="89"/>
      <c r="W188" s="89" t="s">
        <v>302</v>
      </c>
      <c r="X188" s="89"/>
      <c r="Y188" s="89"/>
    </row>
    <row r="189" spans="1:25" hidden="1" x14ac:dyDescent="0.35">
      <c r="A189" s="3" t="str">
        <f t="shared" si="2"/>
        <v>Wen_WW_HS</v>
      </c>
      <c r="B189" s="3">
        <v>14</v>
      </c>
      <c r="C189" s="3">
        <v>4</v>
      </c>
      <c r="D189" s="3" t="s">
        <v>117</v>
      </c>
      <c r="E189" s="3">
        <v>1043</v>
      </c>
      <c r="F189" s="3" t="s">
        <v>147</v>
      </c>
      <c r="G189" s="3" t="s">
        <v>121</v>
      </c>
      <c r="H189" s="3" t="s">
        <v>20</v>
      </c>
      <c r="I189" s="3" t="s">
        <v>25</v>
      </c>
      <c r="J189" s="3" t="s">
        <v>35</v>
      </c>
      <c r="K189" s="3" t="s">
        <v>23</v>
      </c>
      <c r="L189" s="3">
        <v>2</v>
      </c>
      <c r="M189" s="3">
        <v>3</v>
      </c>
      <c r="N189" s="4">
        <v>44481</v>
      </c>
      <c r="O189" s="54">
        <v>0.50694444444444442</v>
      </c>
      <c r="P189" s="5" t="b">
        <v>1</v>
      </c>
      <c r="Q189" s="7">
        <v>1044</v>
      </c>
      <c r="R189" s="7"/>
      <c r="S189" s="3"/>
      <c r="T189" s="3"/>
      <c r="V189"/>
      <c r="W189"/>
      <c r="X189"/>
      <c r="Y189" s="89"/>
    </row>
    <row r="190" spans="1:25" x14ac:dyDescent="0.35">
      <c r="A190" s="3" t="str">
        <f t="shared" si="2"/>
        <v>Sto_WS_HS</v>
      </c>
      <c r="B190" s="3">
        <v>15</v>
      </c>
      <c r="C190" s="3">
        <v>4</v>
      </c>
      <c r="D190" s="3" t="s">
        <v>117</v>
      </c>
      <c r="E190" s="3">
        <v>1045</v>
      </c>
      <c r="F190" s="3" t="s">
        <v>148</v>
      </c>
      <c r="G190" s="34" t="s">
        <v>121</v>
      </c>
      <c r="H190" s="34" t="s">
        <v>39</v>
      </c>
      <c r="I190" s="34" t="s">
        <v>21</v>
      </c>
      <c r="J190" s="34" t="s">
        <v>26</v>
      </c>
      <c r="K190" s="34" t="s">
        <v>27</v>
      </c>
      <c r="L190" s="34">
        <v>2</v>
      </c>
      <c r="M190" s="3">
        <v>1</v>
      </c>
      <c r="N190" s="35">
        <v>44481</v>
      </c>
      <c r="O190" s="4"/>
      <c r="P190" s="5" t="b">
        <v>0</v>
      </c>
      <c r="Q190" s="36">
        <f>E190</f>
        <v>1045</v>
      </c>
      <c r="R190" s="36">
        <v>1</v>
      </c>
      <c r="S190" s="3"/>
      <c r="T190" s="39"/>
      <c r="V190"/>
      <c r="W190"/>
      <c r="X190"/>
      <c r="Y190" s="89"/>
    </row>
    <row r="191" spans="1:25" hidden="1" x14ac:dyDescent="0.35">
      <c r="A191" s="3" t="str">
        <f t="shared" si="2"/>
        <v>Sto_WS_HS</v>
      </c>
      <c r="B191" s="3">
        <v>15</v>
      </c>
      <c r="C191" s="3">
        <v>4</v>
      </c>
      <c r="D191" s="3" t="s">
        <v>117</v>
      </c>
      <c r="E191" s="3">
        <v>1045</v>
      </c>
      <c r="F191" s="3" t="s">
        <v>148</v>
      </c>
      <c r="G191" s="3" t="s">
        <v>121</v>
      </c>
      <c r="H191" s="3" t="s">
        <v>39</v>
      </c>
      <c r="I191" s="3" t="s">
        <v>21</v>
      </c>
      <c r="J191" s="3" t="s">
        <v>28</v>
      </c>
      <c r="K191" s="3" t="s">
        <v>27</v>
      </c>
      <c r="L191" s="3">
        <v>2</v>
      </c>
      <c r="M191" s="3">
        <v>1</v>
      </c>
      <c r="N191" s="4">
        <v>44481</v>
      </c>
      <c r="O191" s="4"/>
      <c r="P191" s="5" t="b">
        <v>1</v>
      </c>
      <c r="Q191" s="7">
        <v>1046</v>
      </c>
      <c r="R191" s="7"/>
      <c r="S191" s="3"/>
      <c r="T191" s="3"/>
      <c r="V191"/>
      <c r="W191"/>
      <c r="X191"/>
      <c r="Y191" s="89"/>
    </row>
    <row r="192" spans="1:25" ht="29" hidden="1" x14ac:dyDescent="0.35">
      <c r="A192" s="3" t="str">
        <f t="shared" si="2"/>
        <v>Wen_WW_HS</v>
      </c>
      <c r="B192" s="3">
        <v>10</v>
      </c>
      <c r="C192" s="3">
        <v>4</v>
      </c>
      <c r="D192" s="3" t="s">
        <v>117</v>
      </c>
      <c r="E192" s="34">
        <v>1035</v>
      </c>
      <c r="F192" s="3" t="s">
        <v>139</v>
      </c>
      <c r="G192" s="34" t="s">
        <v>121</v>
      </c>
      <c r="H192" s="34" t="s">
        <v>20</v>
      </c>
      <c r="I192" s="34" t="s">
        <v>25</v>
      </c>
      <c r="J192" s="34" t="s">
        <v>22</v>
      </c>
      <c r="K192" s="34" t="s">
        <v>27</v>
      </c>
      <c r="L192" s="34">
        <v>2</v>
      </c>
      <c r="M192" s="34">
        <v>1</v>
      </c>
      <c r="N192" s="35">
        <v>44484</v>
      </c>
      <c r="O192" s="35"/>
      <c r="P192" s="32" t="b">
        <v>1</v>
      </c>
      <c r="Q192" s="36">
        <v>1036</v>
      </c>
      <c r="R192" s="36"/>
      <c r="S192" s="34" t="s">
        <v>141</v>
      </c>
      <c r="T192" s="39" t="s">
        <v>231</v>
      </c>
      <c r="U192" s="86"/>
      <c r="V192" s="89"/>
      <c r="W192" s="89"/>
      <c r="X192" s="89"/>
      <c r="Y192" s="89" t="s">
        <v>316</v>
      </c>
    </row>
    <row r="193" spans="1:25" hidden="1" x14ac:dyDescent="0.35">
      <c r="A193" s="3" t="str">
        <f t="shared" si="2"/>
        <v>Wen_WS_HS</v>
      </c>
      <c r="B193" s="3">
        <v>16</v>
      </c>
      <c r="C193" s="3">
        <v>4</v>
      </c>
      <c r="D193" s="3" t="s">
        <v>117</v>
      </c>
      <c r="E193" s="3">
        <v>1047</v>
      </c>
      <c r="F193" s="3" t="s">
        <v>149</v>
      </c>
      <c r="G193" s="3" t="s">
        <v>121</v>
      </c>
      <c r="H193" s="3" t="s">
        <v>39</v>
      </c>
      <c r="I193" s="3" t="s">
        <v>25</v>
      </c>
      <c r="J193" s="3" t="s">
        <v>35</v>
      </c>
      <c r="K193" s="3" t="s">
        <v>23</v>
      </c>
      <c r="L193" s="3">
        <v>2</v>
      </c>
      <c r="M193" s="3">
        <v>3</v>
      </c>
      <c r="N193" s="4">
        <v>44481</v>
      </c>
      <c r="O193" s="54">
        <v>0.50694444444444442</v>
      </c>
      <c r="P193" s="5" t="b">
        <v>1</v>
      </c>
      <c r="Q193" s="7">
        <v>1048</v>
      </c>
      <c r="R193" s="7"/>
      <c r="S193" s="3"/>
      <c r="T193" s="3"/>
      <c r="V193"/>
      <c r="W193"/>
      <c r="X193"/>
      <c r="Y193" s="89"/>
    </row>
    <row r="194" spans="1:25" hidden="1" x14ac:dyDescent="0.35">
      <c r="A194" s="3" t="str">
        <f t="shared" ref="A194:A257" si="3">LEFT(I194,3)&amp;"_"&amp;H194&amp;"_"&amp;G194</f>
        <v>Sto_WS_HS</v>
      </c>
      <c r="B194" s="3">
        <v>11</v>
      </c>
      <c r="C194" s="3">
        <v>4</v>
      </c>
      <c r="D194" s="3" t="s">
        <v>117</v>
      </c>
      <c r="E194" s="34">
        <v>1037</v>
      </c>
      <c r="F194" s="3" t="s">
        <v>142</v>
      </c>
      <c r="G194" s="34" t="s">
        <v>121</v>
      </c>
      <c r="H194" s="34" t="s">
        <v>39</v>
      </c>
      <c r="I194" s="34" t="s">
        <v>21</v>
      </c>
      <c r="J194" s="34" t="s">
        <v>22</v>
      </c>
      <c r="K194" s="34" t="s">
        <v>23</v>
      </c>
      <c r="L194" s="34">
        <v>2</v>
      </c>
      <c r="M194" s="34">
        <v>2</v>
      </c>
      <c r="N194" s="35">
        <v>44481</v>
      </c>
      <c r="O194" s="87">
        <v>0.50694444444444442</v>
      </c>
      <c r="P194" s="32" t="b">
        <v>0</v>
      </c>
      <c r="Q194" s="36">
        <f>E194</f>
        <v>1037</v>
      </c>
      <c r="R194" s="36"/>
      <c r="S194" s="34"/>
      <c r="T194" s="39"/>
      <c r="U194" s="86"/>
      <c r="V194" s="89"/>
      <c r="W194" s="89"/>
      <c r="X194" s="89"/>
      <c r="Y194" s="89"/>
    </row>
    <row r="195" spans="1:25" hidden="1" x14ac:dyDescent="0.35">
      <c r="A195" s="3" t="str">
        <f t="shared" si="3"/>
        <v>Sto_WS_HS</v>
      </c>
      <c r="B195" s="3">
        <v>17</v>
      </c>
      <c r="C195" s="3">
        <v>4</v>
      </c>
      <c r="D195" s="3" t="s">
        <v>117</v>
      </c>
      <c r="E195" s="3">
        <v>1049</v>
      </c>
      <c r="F195" s="3" t="s">
        <v>150</v>
      </c>
      <c r="G195" s="3" t="s">
        <v>121</v>
      </c>
      <c r="H195" s="3" t="s">
        <v>39</v>
      </c>
      <c r="I195" s="3" t="s">
        <v>21</v>
      </c>
      <c r="J195" s="3" t="s">
        <v>35</v>
      </c>
      <c r="K195" s="3" t="s">
        <v>23</v>
      </c>
      <c r="L195" s="3">
        <v>2</v>
      </c>
      <c r="M195" s="3"/>
      <c r="N195" s="4">
        <v>44482</v>
      </c>
      <c r="O195" s="54">
        <v>0.34375</v>
      </c>
      <c r="P195" s="5" t="b">
        <v>1</v>
      </c>
      <c r="Q195" s="7">
        <v>1050</v>
      </c>
      <c r="R195" s="7"/>
      <c r="S195" s="3"/>
      <c r="T195" s="3" t="s">
        <v>234</v>
      </c>
      <c r="V195"/>
      <c r="W195"/>
      <c r="X195"/>
      <c r="Y195" s="89"/>
    </row>
    <row r="196" spans="1:25" ht="29" x14ac:dyDescent="0.35">
      <c r="A196" s="3" t="str">
        <f t="shared" si="3"/>
        <v>Wen_WS_HS</v>
      </c>
      <c r="B196" s="3">
        <v>18</v>
      </c>
      <c r="C196" s="3">
        <v>4</v>
      </c>
      <c r="D196" s="3" t="s">
        <v>117</v>
      </c>
      <c r="E196" s="3">
        <v>1051</v>
      </c>
      <c r="F196" s="3" t="s">
        <v>151</v>
      </c>
      <c r="G196" s="34" t="s">
        <v>121</v>
      </c>
      <c r="H196" s="34" t="s">
        <v>39</v>
      </c>
      <c r="I196" s="34" t="s">
        <v>25</v>
      </c>
      <c r="J196" s="34" t="s">
        <v>26</v>
      </c>
      <c r="K196" s="34" t="s">
        <v>23</v>
      </c>
      <c r="L196" s="34">
        <v>2</v>
      </c>
      <c r="M196" s="3"/>
      <c r="N196" s="35">
        <v>44484</v>
      </c>
      <c r="O196" s="4"/>
      <c r="P196" s="5" t="b">
        <v>0</v>
      </c>
      <c r="Q196" s="36">
        <f>E196</f>
        <v>1051</v>
      </c>
      <c r="R196" s="36">
        <v>1</v>
      </c>
      <c r="S196" s="3"/>
      <c r="T196" s="39" t="s">
        <v>281</v>
      </c>
      <c r="V196"/>
      <c r="W196"/>
      <c r="X196"/>
      <c r="Y196" s="89"/>
    </row>
    <row r="197" spans="1:25" hidden="1" x14ac:dyDescent="0.35">
      <c r="A197" s="3" t="str">
        <f t="shared" si="3"/>
        <v>Wen_WS_HS</v>
      </c>
      <c r="B197" s="3">
        <v>18</v>
      </c>
      <c r="C197" s="3">
        <v>4</v>
      </c>
      <c r="D197" s="3" t="s">
        <v>117</v>
      </c>
      <c r="E197" s="34">
        <v>1051</v>
      </c>
      <c r="F197" s="3" t="s">
        <v>151</v>
      </c>
      <c r="G197" s="103" t="s">
        <v>121</v>
      </c>
      <c r="H197" s="103" t="s">
        <v>39</v>
      </c>
      <c r="I197" s="103" t="s">
        <v>25</v>
      </c>
      <c r="J197" s="103"/>
      <c r="K197" s="103" t="s">
        <v>23</v>
      </c>
      <c r="L197" s="103">
        <v>2</v>
      </c>
      <c r="M197" s="34"/>
      <c r="N197" s="104"/>
      <c r="O197" s="35"/>
      <c r="P197" s="32" t="b">
        <v>1</v>
      </c>
      <c r="Q197" s="105">
        <v>1052</v>
      </c>
      <c r="R197" s="105"/>
      <c r="S197" s="34"/>
      <c r="T197" s="106" t="s">
        <v>227</v>
      </c>
      <c r="U197" s="86"/>
      <c r="V197" s="89"/>
      <c r="W197" s="89"/>
      <c r="X197" s="89"/>
      <c r="Y197" s="89" t="s">
        <v>302</v>
      </c>
    </row>
    <row r="198" spans="1:25" ht="29" x14ac:dyDescent="0.35">
      <c r="A198" s="3" t="str">
        <f t="shared" si="3"/>
        <v>Sto_WW_HS</v>
      </c>
      <c r="B198" s="3">
        <v>19</v>
      </c>
      <c r="C198" s="3">
        <v>4</v>
      </c>
      <c r="D198" s="3" t="s">
        <v>117</v>
      </c>
      <c r="E198" s="3">
        <v>1053</v>
      </c>
      <c r="F198" s="3" t="s">
        <v>152</v>
      </c>
      <c r="G198" s="34" t="s">
        <v>121</v>
      </c>
      <c r="H198" s="34" t="s">
        <v>20</v>
      </c>
      <c r="I198" s="34" t="s">
        <v>21</v>
      </c>
      <c r="J198" s="34" t="s">
        <v>26</v>
      </c>
      <c r="K198" s="34" t="s">
        <v>27</v>
      </c>
      <c r="L198" s="34">
        <v>2</v>
      </c>
      <c r="M198" s="3"/>
      <c r="N198" s="35">
        <v>44484</v>
      </c>
      <c r="O198" s="4"/>
      <c r="P198" s="5" t="b">
        <v>0</v>
      </c>
      <c r="Q198" s="36">
        <f>E198</f>
        <v>1053</v>
      </c>
      <c r="R198" s="36">
        <v>1</v>
      </c>
      <c r="S198" s="3"/>
      <c r="T198" s="39" t="s">
        <v>281</v>
      </c>
      <c r="V198"/>
      <c r="W198"/>
      <c r="X198"/>
      <c r="Y198" s="89"/>
    </row>
    <row r="199" spans="1:25" ht="29" x14ac:dyDescent="0.35">
      <c r="A199" s="3" t="str">
        <f t="shared" si="3"/>
        <v>Sto_WW_HS</v>
      </c>
      <c r="B199" s="3">
        <v>19</v>
      </c>
      <c r="C199" s="3">
        <v>4</v>
      </c>
      <c r="D199" s="3" t="s">
        <v>117</v>
      </c>
      <c r="E199" s="3">
        <v>1053</v>
      </c>
      <c r="F199" s="3" t="s">
        <v>152</v>
      </c>
      <c r="G199" s="34" t="s">
        <v>121</v>
      </c>
      <c r="H199" s="34" t="s">
        <v>20</v>
      </c>
      <c r="I199" s="34" t="s">
        <v>21</v>
      </c>
      <c r="J199" s="34" t="s">
        <v>26</v>
      </c>
      <c r="K199" s="34" t="s">
        <v>27</v>
      </c>
      <c r="L199" s="34">
        <v>2</v>
      </c>
      <c r="M199" s="3"/>
      <c r="N199" s="35">
        <v>44484</v>
      </c>
      <c r="O199" s="4"/>
      <c r="P199" s="5" t="b">
        <v>1</v>
      </c>
      <c r="Q199" s="36">
        <v>1054</v>
      </c>
      <c r="R199" s="36">
        <v>1</v>
      </c>
      <c r="S199" s="3"/>
      <c r="T199" s="39" t="s">
        <v>281</v>
      </c>
      <c r="V199"/>
      <c r="W199"/>
      <c r="X199"/>
      <c r="Y199" s="89"/>
    </row>
    <row r="200" spans="1:25" hidden="1" x14ac:dyDescent="0.35">
      <c r="A200" s="3" t="str">
        <f t="shared" si="3"/>
        <v>Sto_WW_HS</v>
      </c>
      <c r="B200" s="3">
        <v>12</v>
      </c>
      <c r="C200" s="3">
        <v>4</v>
      </c>
      <c r="D200" s="3" t="s">
        <v>117</v>
      </c>
      <c r="E200" s="34">
        <v>1039</v>
      </c>
      <c r="F200" s="3" t="s">
        <v>143</v>
      </c>
      <c r="G200" s="98" t="s">
        <v>121</v>
      </c>
      <c r="H200" s="98" t="s">
        <v>20</v>
      </c>
      <c r="I200" s="98" t="s">
        <v>21</v>
      </c>
      <c r="J200" s="98" t="s">
        <v>22</v>
      </c>
      <c r="K200" s="98" t="s">
        <v>23</v>
      </c>
      <c r="L200" s="98">
        <v>2</v>
      </c>
      <c r="M200" s="34">
        <v>3</v>
      </c>
      <c r="N200" s="99">
        <v>44481</v>
      </c>
      <c r="O200" s="87">
        <v>0.50694444444444442</v>
      </c>
      <c r="P200" s="32" t="b">
        <v>0</v>
      </c>
      <c r="Q200" s="100">
        <f>E200</f>
        <v>1039</v>
      </c>
      <c r="R200" s="100"/>
      <c r="S200" s="34"/>
      <c r="T200" s="101"/>
      <c r="U200" s="86"/>
      <c r="V200" s="89"/>
      <c r="W200" s="89" t="s">
        <v>302</v>
      </c>
      <c r="X200" s="89"/>
      <c r="Y200" s="89"/>
    </row>
    <row r="201" spans="1:25" hidden="1" x14ac:dyDescent="0.35">
      <c r="A201" s="3" t="str">
        <f t="shared" si="3"/>
        <v>Wen_WW_HS</v>
      </c>
      <c r="B201" s="3">
        <v>20</v>
      </c>
      <c r="C201" s="3">
        <v>4</v>
      </c>
      <c r="D201" s="3" t="s">
        <v>117</v>
      </c>
      <c r="E201" s="3">
        <v>1055</v>
      </c>
      <c r="F201" s="3" t="s">
        <v>153</v>
      </c>
      <c r="G201" s="3" t="s">
        <v>121</v>
      </c>
      <c r="H201" s="3" t="s">
        <v>20</v>
      </c>
      <c r="I201" s="3" t="s">
        <v>25</v>
      </c>
      <c r="J201" s="3" t="s">
        <v>35</v>
      </c>
      <c r="K201" s="3" t="s">
        <v>23</v>
      </c>
      <c r="L201" s="3">
        <v>2</v>
      </c>
      <c r="M201" s="3"/>
      <c r="N201" s="4">
        <v>44482</v>
      </c>
      <c r="O201" s="54">
        <v>0.34375</v>
      </c>
      <c r="P201" s="5" t="b">
        <v>1</v>
      </c>
      <c r="Q201" s="7">
        <v>1056</v>
      </c>
      <c r="R201" s="7"/>
      <c r="S201" s="3"/>
      <c r="T201" s="3"/>
      <c r="V201"/>
      <c r="W201"/>
      <c r="X201"/>
      <c r="Y201" s="89"/>
    </row>
    <row r="202" spans="1:25" x14ac:dyDescent="0.35">
      <c r="A202" s="3" t="str">
        <f t="shared" si="3"/>
        <v>Sto_WS_HS</v>
      </c>
      <c r="B202" s="3">
        <v>21</v>
      </c>
      <c r="C202" s="3">
        <v>4</v>
      </c>
      <c r="D202" s="3" t="s">
        <v>117</v>
      </c>
      <c r="E202" s="3">
        <v>1057</v>
      </c>
      <c r="F202" s="3" t="s">
        <v>154</v>
      </c>
      <c r="G202" s="34" t="s">
        <v>121</v>
      </c>
      <c r="H202" s="34" t="s">
        <v>39</v>
      </c>
      <c r="I202" s="34" t="s">
        <v>21</v>
      </c>
      <c r="J202" s="34" t="s">
        <v>26</v>
      </c>
      <c r="K202" s="34" t="s">
        <v>27</v>
      </c>
      <c r="L202" s="34">
        <v>2</v>
      </c>
      <c r="M202" s="3"/>
      <c r="N202" s="35">
        <v>44483</v>
      </c>
      <c r="O202" s="4"/>
      <c r="P202" s="5" t="b">
        <v>0</v>
      </c>
      <c r="Q202" s="36">
        <f>E202</f>
        <v>1057</v>
      </c>
      <c r="R202" s="36">
        <v>1</v>
      </c>
      <c r="S202" s="3"/>
      <c r="T202" s="39"/>
      <c r="V202"/>
      <c r="W202"/>
      <c r="X202"/>
      <c r="Y202" s="89"/>
    </row>
    <row r="203" spans="1:25" hidden="1" x14ac:dyDescent="0.35">
      <c r="A203" s="3" t="str">
        <f t="shared" si="3"/>
        <v>Sto_WS_HS</v>
      </c>
      <c r="B203" s="3">
        <v>21</v>
      </c>
      <c r="C203" s="3">
        <v>4</v>
      </c>
      <c r="D203" s="3" t="s">
        <v>117</v>
      </c>
      <c r="E203" s="3">
        <v>1057</v>
      </c>
      <c r="F203" s="3" t="s">
        <v>154</v>
      </c>
      <c r="G203" s="3" t="s">
        <v>121</v>
      </c>
      <c r="H203" s="3" t="s">
        <v>39</v>
      </c>
      <c r="I203" s="3" t="s">
        <v>21</v>
      </c>
      <c r="J203" s="3" t="s">
        <v>28</v>
      </c>
      <c r="K203" s="3" t="s">
        <v>27</v>
      </c>
      <c r="L203" s="3">
        <v>2</v>
      </c>
      <c r="M203" s="3"/>
      <c r="N203" s="4">
        <v>44483</v>
      </c>
      <c r="O203" s="4"/>
      <c r="P203" s="5" t="b">
        <v>1</v>
      </c>
      <c r="Q203" s="7">
        <v>1058</v>
      </c>
      <c r="R203" s="7"/>
      <c r="S203" s="3"/>
      <c r="T203" s="3"/>
      <c r="V203"/>
      <c r="W203"/>
      <c r="X203"/>
      <c r="Y203" s="89"/>
    </row>
    <row r="204" spans="1:25" x14ac:dyDescent="0.35">
      <c r="A204" s="3" t="str">
        <f t="shared" si="3"/>
        <v>Wen_WS_HS</v>
      </c>
      <c r="B204" s="3">
        <v>22</v>
      </c>
      <c r="C204" s="3">
        <v>4</v>
      </c>
      <c r="D204" s="3" t="s">
        <v>117</v>
      </c>
      <c r="E204" s="3">
        <v>1059</v>
      </c>
      <c r="F204" s="3" t="s">
        <v>155</v>
      </c>
      <c r="G204" s="34" t="s">
        <v>121</v>
      </c>
      <c r="H204" s="34" t="s">
        <v>39</v>
      </c>
      <c r="I204" s="34" t="s">
        <v>25</v>
      </c>
      <c r="J204" s="34" t="s">
        <v>26</v>
      </c>
      <c r="K204" s="34" t="s">
        <v>23</v>
      </c>
      <c r="L204" s="34">
        <v>2</v>
      </c>
      <c r="M204" s="3"/>
      <c r="N204" s="35">
        <v>44481</v>
      </c>
      <c r="O204" s="4"/>
      <c r="P204" s="5" t="b">
        <v>0</v>
      </c>
      <c r="Q204" s="36">
        <f>E204</f>
        <v>1059</v>
      </c>
      <c r="R204" s="36">
        <v>1</v>
      </c>
      <c r="S204" s="3"/>
      <c r="T204" s="39"/>
      <c r="V204"/>
      <c r="W204"/>
      <c r="X204"/>
      <c r="Y204" s="89"/>
    </row>
    <row r="205" spans="1:25" hidden="1" x14ac:dyDescent="0.35">
      <c r="A205" s="3" t="str">
        <f t="shared" si="3"/>
        <v>Wen_WS_HS</v>
      </c>
      <c r="B205" s="3">
        <v>22</v>
      </c>
      <c r="C205" s="3">
        <v>4</v>
      </c>
      <c r="D205" s="3" t="s">
        <v>117</v>
      </c>
      <c r="E205" s="3">
        <v>1059</v>
      </c>
      <c r="F205" s="3" t="s">
        <v>155</v>
      </c>
      <c r="G205" s="3" t="s">
        <v>121</v>
      </c>
      <c r="H205" s="3" t="s">
        <v>39</v>
      </c>
      <c r="I205" s="3" t="s">
        <v>25</v>
      </c>
      <c r="J205" s="3" t="s">
        <v>28</v>
      </c>
      <c r="K205" s="3" t="s">
        <v>23</v>
      </c>
      <c r="L205" s="3">
        <v>2</v>
      </c>
      <c r="M205" s="3"/>
      <c r="N205" s="4">
        <v>44481</v>
      </c>
      <c r="O205" s="4"/>
      <c r="P205" s="5" t="b">
        <v>1</v>
      </c>
      <c r="Q205" s="7">
        <v>1060</v>
      </c>
      <c r="R205" s="7"/>
      <c r="S205" s="3"/>
      <c r="T205" s="3"/>
      <c r="V205"/>
      <c r="W205"/>
      <c r="X205"/>
      <c r="Y205" s="89"/>
    </row>
    <row r="206" spans="1:25" hidden="1" x14ac:dyDescent="0.35">
      <c r="A206" s="3" t="str">
        <f t="shared" si="3"/>
        <v>Wen_WW_HS</v>
      </c>
      <c r="B206" s="3">
        <v>14</v>
      </c>
      <c r="C206" s="3">
        <v>4</v>
      </c>
      <c r="D206" s="3" t="s">
        <v>117</v>
      </c>
      <c r="E206" s="34">
        <v>1043</v>
      </c>
      <c r="F206" s="3" t="s">
        <v>147</v>
      </c>
      <c r="G206" s="34" t="s">
        <v>121</v>
      </c>
      <c r="H206" s="34" t="s">
        <v>20</v>
      </c>
      <c r="I206" s="34" t="s">
        <v>25</v>
      </c>
      <c r="J206" s="34" t="s">
        <v>22</v>
      </c>
      <c r="K206" s="34" t="s">
        <v>23</v>
      </c>
      <c r="L206" s="34">
        <v>2</v>
      </c>
      <c r="M206" s="34">
        <v>3</v>
      </c>
      <c r="N206" s="35">
        <v>44481</v>
      </c>
      <c r="O206" s="87">
        <v>0.50694444444444442</v>
      </c>
      <c r="P206" s="32" t="b">
        <v>0</v>
      </c>
      <c r="Q206" s="36">
        <f>E206</f>
        <v>1043</v>
      </c>
      <c r="R206" s="36"/>
      <c r="S206" s="34"/>
      <c r="T206" s="39"/>
      <c r="U206" s="86"/>
      <c r="V206" s="89"/>
      <c r="W206" s="89" t="s">
        <v>302</v>
      </c>
      <c r="X206" s="89"/>
      <c r="Y206" s="89"/>
    </row>
    <row r="207" spans="1:25" hidden="1" x14ac:dyDescent="0.35">
      <c r="A207" s="3" t="str">
        <f t="shared" si="3"/>
        <v>Sto_WS_HS</v>
      </c>
      <c r="B207" s="3">
        <v>1</v>
      </c>
      <c r="C207" s="3">
        <v>3</v>
      </c>
      <c r="D207" s="3" t="s">
        <v>117</v>
      </c>
      <c r="E207" s="3">
        <v>1061</v>
      </c>
      <c r="F207" s="3" t="s">
        <v>156</v>
      </c>
      <c r="G207" s="3" t="s">
        <v>121</v>
      </c>
      <c r="H207" s="3" t="s">
        <v>39</v>
      </c>
      <c r="I207" s="3" t="s">
        <v>21</v>
      </c>
      <c r="J207" s="3" t="s">
        <v>35</v>
      </c>
      <c r="K207" s="3" t="s">
        <v>23</v>
      </c>
      <c r="L207" s="3">
        <v>2</v>
      </c>
      <c r="M207" s="3">
        <v>4</v>
      </c>
      <c r="N207" s="4">
        <v>44483</v>
      </c>
      <c r="O207" s="54">
        <v>0.39583333333333331</v>
      </c>
      <c r="P207" s="5" t="b">
        <v>1</v>
      </c>
      <c r="Q207" s="7">
        <v>1062</v>
      </c>
      <c r="R207" s="7"/>
      <c r="S207" s="3"/>
      <c r="T207" s="3" t="s">
        <v>245</v>
      </c>
      <c r="V207"/>
      <c r="W207"/>
      <c r="X207"/>
      <c r="Y207" s="89"/>
    </row>
    <row r="208" spans="1:25" x14ac:dyDescent="0.35">
      <c r="A208" s="3" t="str">
        <f t="shared" si="3"/>
        <v>Wen_WW_HS</v>
      </c>
      <c r="B208" s="3">
        <v>2</v>
      </c>
      <c r="C208" s="3">
        <v>3</v>
      </c>
      <c r="D208" s="3" t="s">
        <v>117</v>
      </c>
      <c r="E208" s="3">
        <v>1063</v>
      </c>
      <c r="F208" s="3" t="s">
        <v>157</v>
      </c>
      <c r="G208" s="34" t="s">
        <v>121</v>
      </c>
      <c r="H208" s="34" t="s">
        <v>20</v>
      </c>
      <c r="I208" s="34" t="s">
        <v>25</v>
      </c>
      <c r="J208" s="34" t="s">
        <v>26</v>
      </c>
      <c r="K208" s="34" t="s">
        <v>27</v>
      </c>
      <c r="L208" s="34">
        <v>2</v>
      </c>
      <c r="M208" s="3">
        <v>2</v>
      </c>
      <c r="N208" s="35">
        <v>44481</v>
      </c>
      <c r="O208" s="4"/>
      <c r="P208" s="5" t="b">
        <v>0</v>
      </c>
      <c r="Q208" s="36">
        <f>E208</f>
        <v>1063</v>
      </c>
      <c r="R208" s="36">
        <v>1</v>
      </c>
      <c r="S208" s="3"/>
      <c r="T208" s="39"/>
      <c r="V208"/>
      <c r="W208"/>
      <c r="X208"/>
      <c r="Y208" s="89"/>
    </row>
    <row r="209" spans="1:25" hidden="1" x14ac:dyDescent="0.35">
      <c r="A209" s="3" t="str">
        <f t="shared" si="3"/>
        <v>Wen_WW_HS</v>
      </c>
      <c r="B209" s="3">
        <v>2</v>
      </c>
      <c r="C209" s="3">
        <v>3</v>
      </c>
      <c r="D209" s="3" t="s">
        <v>117</v>
      </c>
      <c r="E209" s="3">
        <v>1063</v>
      </c>
      <c r="F209" s="3" t="s">
        <v>157</v>
      </c>
      <c r="G209" s="3" t="s">
        <v>121</v>
      </c>
      <c r="H209" s="3" t="s">
        <v>20</v>
      </c>
      <c r="I209" s="3" t="s">
        <v>25</v>
      </c>
      <c r="J209" s="3" t="s">
        <v>28</v>
      </c>
      <c r="K209" s="3" t="s">
        <v>27</v>
      </c>
      <c r="L209" s="3">
        <v>2</v>
      </c>
      <c r="M209" s="3">
        <v>2</v>
      </c>
      <c r="N209" s="4">
        <v>44481</v>
      </c>
      <c r="O209" s="4"/>
      <c r="P209" s="5" t="b">
        <v>1</v>
      </c>
      <c r="Q209" s="7">
        <v>1064</v>
      </c>
      <c r="R209" s="7"/>
      <c r="S209" s="3"/>
      <c r="T209" s="3"/>
      <c r="V209"/>
      <c r="W209"/>
      <c r="X209"/>
      <c r="Y209" s="89"/>
    </row>
    <row r="210" spans="1:25" hidden="1" x14ac:dyDescent="0.35">
      <c r="A210" s="3" t="str">
        <f t="shared" si="3"/>
        <v>Wen_WS_HS</v>
      </c>
      <c r="B210" s="3">
        <v>16</v>
      </c>
      <c r="C210" s="3">
        <v>4</v>
      </c>
      <c r="D210" s="3" t="s">
        <v>117</v>
      </c>
      <c r="E210" s="34">
        <v>1047</v>
      </c>
      <c r="F210" s="3" t="s">
        <v>149</v>
      </c>
      <c r="G210" s="34" t="s">
        <v>121</v>
      </c>
      <c r="H210" s="34" t="s">
        <v>39</v>
      </c>
      <c r="I210" s="34" t="s">
        <v>25</v>
      </c>
      <c r="J210" s="34" t="s">
        <v>22</v>
      </c>
      <c r="K210" s="34" t="s">
        <v>23</v>
      </c>
      <c r="L210" s="34">
        <v>2</v>
      </c>
      <c r="M210" s="34">
        <v>3</v>
      </c>
      <c r="N210" s="35">
        <v>44481</v>
      </c>
      <c r="O210" s="87">
        <v>0.50694444444444442</v>
      </c>
      <c r="P210" s="32" t="b">
        <v>0</v>
      </c>
      <c r="Q210" s="36">
        <f>E210</f>
        <v>1047</v>
      </c>
      <c r="R210" s="36"/>
      <c r="S210" s="34"/>
      <c r="T210" s="39"/>
      <c r="U210" s="86"/>
      <c r="V210" s="89"/>
      <c r="W210" s="89" t="s">
        <v>302</v>
      </c>
      <c r="X210" s="89"/>
      <c r="Y210" s="89"/>
    </row>
    <row r="211" spans="1:25" hidden="1" x14ac:dyDescent="0.35">
      <c r="A211" s="3" t="str">
        <f t="shared" si="3"/>
        <v>Sto_WW_HS</v>
      </c>
      <c r="B211" s="3">
        <v>3</v>
      </c>
      <c r="C211" s="3">
        <v>3</v>
      </c>
      <c r="D211" s="3" t="s">
        <v>117</v>
      </c>
      <c r="E211" s="3">
        <v>1065</v>
      </c>
      <c r="F211" s="3" t="s">
        <v>158</v>
      </c>
      <c r="G211" s="3" t="s">
        <v>121</v>
      </c>
      <c r="H211" s="3" t="s">
        <v>20</v>
      </c>
      <c r="I211" s="3" t="s">
        <v>21</v>
      </c>
      <c r="J211" s="3" t="s">
        <v>35</v>
      </c>
      <c r="K211" s="3" t="s">
        <v>23</v>
      </c>
      <c r="L211" s="3">
        <v>2</v>
      </c>
      <c r="M211" s="3">
        <v>4</v>
      </c>
      <c r="N211" s="4">
        <v>44482</v>
      </c>
      <c r="O211" s="54">
        <v>0.34375</v>
      </c>
      <c r="P211" s="5" t="b">
        <v>1</v>
      </c>
      <c r="Q211" s="7">
        <v>1066</v>
      </c>
      <c r="R211" s="7"/>
      <c r="S211" s="3"/>
      <c r="T211" s="3"/>
      <c r="V211"/>
      <c r="W211"/>
      <c r="X211"/>
      <c r="Y211" s="89"/>
    </row>
    <row r="212" spans="1:25" hidden="1" x14ac:dyDescent="0.35">
      <c r="A212" s="3" t="str">
        <f t="shared" si="3"/>
        <v>Wen_WW_HS</v>
      </c>
      <c r="B212" s="3">
        <v>4</v>
      </c>
      <c r="C212" s="3">
        <v>3</v>
      </c>
      <c r="D212" s="3" t="s">
        <v>117</v>
      </c>
      <c r="E212" s="3">
        <v>1067</v>
      </c>
      <c r="F212" s="3" t="s">
        <v>159</v>
      </c>
      <c r="G212" s="3" t="s">
        <v>121</v>
      </c>
      <c r="H212" s="3" t="s">
        <v>20</v>
      </c>
      <c r="I212" s="3" t="s">
        <v>25</v>
      </c>
      <c r="J212" s="3" t="s">
        <v>35</v>
      </c>
      <c r="K212" s="3" t="s">
        <v>23</v>
      </c>
      <c r="L212" s="3">
        <v>2</v>
      </c>
      <c r="M212" s="3">
        <v>4</v>
      </c>
      <c r="N212" s="4">
        <v>44483</v>
      </c>
      <c r="O212" s="54">
        <v>0.77083333333333337</v>
      </c>
      <c r="P212" s="5" t="b">
        <v>0</v>
      </c>
      <c r="Q212" s="7">
        <f>E212</f>
        <v>1067</v>
      </c>
      <c r="R212" s="7"/>
      <c r="S212" s="3" t="s">
        <v>160</v>
      </c>
      <c r="T212" s="3" t="s">
        <v>220</v>
      </c>
      <c r="V212"/>
      <c r="W212"/>
      <c r="X212"/>
      <c r="Y212" s="89"/>
    </row>
    <row r="213" spans="1:25" hidden="1" x14ac:dyDescent="0.35">
      <c r="A213" s="3" t="str">
        <f t="shared" si="3"/>
        <v>Wen_WW_HS</v>
      </c>
      <c r="B213" s="3">
        <v>4</v>
      </c>
      <c r="C213" s="3">
        <v>3</v>
      </c>
      <c r="D213" s="3" t="s">
        <v>117</v>
      </c>
      <c r="E213" s="34">
        <v>1067</v>
      </c>
      <c r="F213" s="3" t="s">
        <v>159</v>
      </c>
      <c r="G213" s="94" t="s">
        <v>121</v>
      </c>
      <c r="H213" s="94" t="s">
        <v>20</v>
      </c>
      <c r="I213" s="94" t="s">
        <v>25</v>
      </c>
      <c r="J213" s="94"/>
      <c r="K213" s="94" t="s">
        <v>23</v>
      </c>
      <c r="L213" s="94"/>
      <c r="M213" s="34">
        <v>4</v>
      </c>
      <c r="N213" s="95"/>
      <c r="O213" s="35"/>
      <c r="P213" s="32" t="b">
        <v>1</v>
      </c>
      <c r="Q213" s="96">
        <v>1068</v>
      </c>
      <c r="R213" s="96"/>
      <c r="S213" s="34" t="s">
        <v>161</v>
      </c>
      <c r="T213" s="97" t="s">
        <v>218</v>
      </c>
      <c r="U213" s="86" t="s">
        <v>302</v>
      </c>
      <c r="V213" s="89"/>
      <c r="W213" s="89"/>
      <c r="X213" s="89"/>
      <c r="Y213" s="89" t="s">
        <v>302</v>
      </c>
    </row>
    <row r="214" spans="1:25" x14ac:dyDescent="0.35">
      <c r="A214" s="3" t="str">
        <f t="shared" si="3"/>
        <v>Sto_WW_HS</v>
      </c>
      <c r="B214" s="3">
        <v>5</v>
      </c>
      <c r="C214" s="3">
        <v>3</v>
      </c>
      <c r="D214" s="3" t="s">
        <v>117</v>
      </c>
      <c r="E214" s="3">
        <v>1069</v>
      </c>
      <c r="F214" s="3" t="s">
        <v>162</v>
      </c>
      <c r="G214" s="34" t="s">
        <v>121</v>
      </c>
      <c r="H214" s="34" t="s">
        <v>20</v>
      </c>
      <c r="I214" s="34" t="s">
        <v>21</v>
      </c>
      <c r="J214" s="34" t="s">
        <v>26</v>
      </c>
      <c r="K214" s="34" t="s">
        <v>27</v>
      </c>
      <c r="L214" s="34">
        <v>2</v>
      </c>
      <c r="M214" s="3">
        <v>2</v>
      </c>
      <c r="N214" s="35">
        <v>44481</v>
      </c>
      <c r="O214" s="4"/>
      <c r="P214" s="5" t="b">
        <v>0</v>
      </c>
      <c r="Q214" s="36">
        <f>E214</f>
        <v>1069</v>
      </c>
      <c r="R214" s="36">
        <v>1</v>
      </c>
      <c r="S214" s="3"/>
      <c r="T214" s="39"/>
      <c r="V214"/>
      <c r="W214"/>
      <c r="X214"/>
      <c r="Y214" s="89"/>
    </row>
    <row r="215" spans="1:25" hidden="1" x14ac:dyDescent="0.35">
      <c r="A215" s="3" t="str">
        <f t="shared" si="3"/>
        <v>Sto_WW_HS</v>
      </c>
      <c r="B215" s="3">
        <v>5</v>
      </c>
      <c r="C215" s="3">
        <v>3</v>
      </c>
      <c r="D215" s="3" t="s">
        <v>117</v>
      </c>
      <c r="E215" s="3">
        <v>1069</v>
      </c>
      <c r="F215" s="3" t="s">
        <v>162</v>
      </c>
      <c r="G215" s="3" t="s">
        <v>121</v>
      </c>
      <c r="H215" s="3" t="s">
        <v>20</v>
      </c>
      <c r="I215" s="3" t="s">
        <v>21</v>
      </c>
      <c r="J215" s="3" t="s">
        <v>28</v>
      </c>
      <c r="K215" s="3" t="s">
        <v>27</v>
      </c>
      <c r="L215" s="3">
        <v>2</v>
      </c>
      <c r="M215" s="3">
        <v>2</v>
      </c>
      <c r="N215" s="4">
        <v>44481</v>
      </c>
      <c r="O215" s="4"/>
      <c r="P215" s="5" t="b">
        <v>1</v>
      </c>
      <c r="Q215" s="7">
        <v>1070</v>
      </c>
      <c r="R215" s="7"/>
      <c r="S215" s="3"/>
      <c r="T215" s="3"/>
      <c r="V215"/>
      <c r="W215"/>
      <c r="X215"/>
      <c r="Y215" s="89"/>
    </row>
    <row r="216" spans="1:25" ht="29" hidden="1" x14ac:dyDescent="0.35">
      <c r="A216" s="3" t="str">
        <f t="shared" si="3"/>
        <v>Sto_WS_HS</v>
      </c>
      <c r="B216" s="3">
        <v>17</v>
      </c>
      <c r="C216" s="3">
        <v>4</v>
      </c>
      <c r="D216" s="3" t="s">
        <v>117</v>
      </c>
      <c r="E216" s="34">
        <v>1049</v>
      </c>
      <c r="F216" s="3" t="s">
        <v>150</v>
      </c>
      <c r="G216" s="34" t="s">
        <v>121</v>
      </c>
      <c r="H216" s="34" t="s">
        <v>39</v>
      </c>
      <c r="I216" s="34" t="s">
        <v>21</v>
      </c>
      <c r="J216" s="34" t="s">
        <v>22</v>
      </c>
      <c r="K216" s="34" t="s">
        <v>23</v>
      </c>
      <c r="L216" s="34">
        <v>2</v>
      </c>
      <c r="M216" s="34"/>
      <c r="N216" s="35">
        <v>44482</v>
      </c>
      <c r="O216" s="87">
        <v>0.34375</v>
      </c>
      <c r="P216" s="32" t="b">
        <v>0</v>
      </c>
      <c r="Q216" s="36">
        <f>E216</f>
        <v>1049</v>
      </c>
      <c r="R216" s="36"/>
      <c r="S216" s="34"/>
      <c r="T216" s="39" t="s">
        <v>207</v>
      </c>
      <c r="U216" s="86"/>
      <c r="V216" s="89"/>
      <c r="W216" s="89" t="s">
        <v>302</v>
      </c>
      <c r="X216" s="89"/>
      <c r="Y216" s="89" t="s">
        <v>302</v>
      </c>
    </row>
    <row r="217" spans="1:25" hidden="1" x14ac:dyDescent="0.35">
      <c r="A217" s="3" t="str">
        <f t="shared" si="3"/>
        <v>Wen_WS_HS</v>
      </c>
      <c r="B217" s="3">
        <v>6</v>
      </c>
      <c r="C217" s="3">
        <v>3</v>
      </c>
      <c r="D217" s="3" t="s">
        <v>117</v>
      </c>
      <c r="E217" s="3">
        <v>1071</v>
      </c>
      <c r="F217" s="3" t="s">
        <v>163</v>
      </c>
      <c r="G217" s="3" t="s">
        <v>121</v>
      </c>
      <c r="H217" s="3" t="s">
        <v>39</v>
      </c>
      <c r="I217" s="3" t="s">
        <v>25</v>
      </c>
      <c r="J217" s="3" t="s">
        <v>35</v>
      </c>
      <c r="K217" s="3" t="s">
        <v>23</v>
      </c>
      <c r="L217" s="3">
        <v>2</v>
      </c>
      <c r="M217" s="3">
        <v>4</v>
      </c>
      <c r="N217" s="4">
        <v>44482</v>
      </c>
      <c r="O217" s="54">
        <v>0.46875</v>
      </c>
      <c r="P217" s="5" t="b">
        <v>1</v>
      </c>
      <c r="Q217" s="7">
        <v>1072</v>
      </c>
      <c r="R217" s="7"/>
      <c r="S217" s="3"/>
      <c r="T217" s="3"/>
      <c r="V217"/>
      <c r="W217"/>
      <c r="X217"/>
      <c r="Y217" s="89"/>
    </row>
    <row r="218" spans="1:25" x14ac:dyDescent="0.35">
      <c r="A218" s="3" t="str">
        <f t="shared" si="3"/>
        <v>Sto_WS_HS</v>
      </c>
      <c r="B218" s="3">
        <v>7</v>
      </c>
      <c r="C218" s="3">
        <v>3</v>
      </c>
      <c r="D218" s="3" t="s">
        <v>117</v>
      </c>
      <c r="E218" s="3">
        <v>1073</v>
      </c>
      <c r="F218" s="3" t="s">
        <v>164</v>
      </c>
      <c r="G218" s="34" t="s">
        <v>121</v>
      </c>
      <c r="H218" s="34" t="s">
        <v>39</v>
      </c>
      <c r="I218" s="34" t="s">
        <v>21</v>
      </c>
      <c r="J218" s="34" t="s">
        <v>26</v>
      </c>
      <c r="K218" s="34" t="s">
        <v>27</v>
      </c>
      <c r="L218" s="34">
        <v>2</v>
      </c>
      <c r="M218" s="3">
        <v>2</v>
      </c>
      <c r="N218" s="35">
        <v>44481</v>
      </c>
      <c r="O218" s="4"/>
      <c r="P218" s="5" t="b">
        <v>0</v>
      </c>
      <c r="Q218" s="36">
        <f>E218</f>
        <v>1073</v>
      </c>
      <c r="R218" s="36">
        <v>1</v>
      </c>
      <c r="S218" s="3"/>
      <c r="T218" s="39"/>
      <c r="V218"/>
      <c r="W218"/>
      <c r="X218"/>
      <c r="Y218" s="89"/>
    </row>
    <row r="219" spans="1:25" hidden="1" x14ac:dyDescent="0.35">
      <c r="A219" s="3" t="str">
        <f t="shared" si="3"/>
        <v>Sto_WS_HS</v>
      </c>
      <c r="B219" s="3">
        <v>7</v>
      </c>
      <c r="C219" s="3">
        <v>3</v>
      </c>
      <c r="D219" s="3" t="s">
        <v>117</v>
      </c>
      <c r="E219" s="3">
        <v>1073</v>
      </c>
      <c r="F219" s="3" t="s">
        <v>164</v>
      </c>
      <c r="G219" s="3" t="s">
        <v>121</v>
      </c>
      <c r="H219" s="3" t="s">
        <v>39</v>
      </c>
      <c r="I219" s="3" t="s">
        <v>21</v>
      </c>
      <c r="J219" s="3" t="s">
        <v>28</v>
      </c>
      <c r="K219" s="3" t="s">
        <v>27</v>
      </c>
      <c r="L219" s="3">
        <v>2</v>
      </c>
      <c r="M219" s="3">
        <v>2</v>
      </c>
      <c r="N219" s="4">
        <v>44481</v>
      </c>
      <c r="O219" s="4"/>
      <c r="P219" s="5" t="b">
        <v>1</v>
      </c>
      <c r="Q219" s="7">
        <v>1074</v>
      </c>
      <c r="R219" s="7"/>
      <c r="S219" s="3"/>
      <c r="T219" s="3"/>
      <c r="V219"/>
      <c r="W219"/>
      <c r="X219"/>
      <c r="Y219" s="89"/>
    </row>
    <row r="220" spans="1:25" hidden="1" x14ac:dyDescent="0.35">
      <c r="A220" s="3" t="str">
        <f t="shared" si="3"/>
        <v>Wen_WW_HS</v>
      </c>
      <c r="B220" s="3">
        <v>20</v>
      </c>
      <c r="C220" s="3">
        <v>4</v>
      </c>
      <c r="D220" s="3" t="s">
        <v>117</v>
      </c>
      <c r="E220" s="34">
        <v>1055</v>
      </c>
      <c r="F220" s="3" t="s">
        <v>153</v>
      </c>
      <c r="G220" s="34" t="s">
        <v>121</v>
      </c>
      <c r="H220" s="34" t="s">
        <v>20</v>
      </c>
      <c r="I220" s="34" t="s">
        <v>25</v>
      </c>
      <c r="J220" s="34" t="s">
        <v>22</v>
      </c>
      <c r="K220" s="34" t="s">
        <v>23</v>
      </c>
      <c r="L220" s="34">
        <v>2</v>
      </c>
      <c r="M220" s="34"/>
      <c r="N220" s="35">
        <v>44482</v>
      </c>
      <c r="O220" s="87">
        <v>0.34375</v>
      </c>
      <c r="P220" s="32" t="b">
        <v>0</v>
      </c>
      <c r="Q220" s="36">
        <f>E220</f>
        <v>1055</v>
      </c>
      <c r="R220" s="36"/>
      <c r="S220" s="34"/>
      <c r="T220" s="39"/>
      <c r="U220" s="86"/>
      <c r="V220" s="89"/>
      <c r="W220" s="89" t="s">
        <v>302</v>
      </c>
      <c r="X220" s="89"/>
      <c r="Y220" s="89"/>
    </row>
    <row r="221" spans="1:25" hidden="1" x14ac:dyDescent="0.35">
      <c r="A221" s="3" t="str">
        <f t="shared" si="3"/>
        <v>Sto_WS_HS</v>
      </c>
      <c r="B221" s="3">
        <v>8</v>
      </c>
      <c r="C221" s="3">
        <v>3</v>
      </c>
      <c r="D221" s="3" t="s">
        <v>117</v>
      </c>
      <c r="E221" s="3">
        <v>1075</v>
      </c>
      <c r="F221" s="3" t="s">
        <v>165</v>
      </c>
      <c r="G221" s="3" t="s">
        <v>121</v>
      </c>
      <c r="H221" s="3" t="s">
        <v>39</v>
      </c>
      <c r="I221" s="3" t="s">
        <v>21</v>
      </c>
      <c r="J221" s="3" t="s">
        <v>35</v>
      </c>
      <c r="K221" s="3" t="s">
        <v>23</v>
      </c>
      <c r="L221" s="3">
        <v>2</v>
      </c>
      <c r="M221" s="3">
        <v>5</v>
      </c>
      <c r="N221" s="4">
        <v>44482</v>
      </c>
      <c r="O221" s="54">
        <v>0.46875</v>
      </c>
      <c r="P221" s="5" t="b">
        <v>1</v>
      </c>
      <c r="Q221" s="7">
        <v>1076</v>
      </c>
      <c r="R221" s="7"/>
      <c r="S221" s="3"/>
      <c r="T221" s="3" t="s">
        <v>212</v>
      </c>
      <c r="V221"/>
      <c r="W221"/>
      <c r="X221"/>
      <c r="Y221" s="89"/>
    </row>
    <row r="222" spans="1:25" x14ac:dyDescent="0.35">
      <c r="A222" s="3" t="str">
        <f t="shared" si="3"/>
        <v>Wen_WS_HS</v>
      </c>
      <c r="B222" s="3">
        <v>9</v>
      </c>
      <c r="C222" s="3">
        <v>3</v>
      </c>
      <c r="D222" s="3" t="s">
        <v>117</v>
      </c>
      <c r="E222" s="3">
        <v>1077</v>
      </c>
      <c r="F222" s="3" t="s">
        <v>166</v>
      </c>
      <c r="G222" s="34" t="s">
        <v>121</v>
      </c>
      <c r="H222" s="34" t="s">
        <v>39</v>
      </c>
      <c r="I222" s="34" t="s">
        <v>25</v>
      </c>
      <c r="J222" s="34" t="s">
        <v>26</v>
      </c>
      <c r="K222" s="34" t="s">
        <v>27</v>
      </c>
      <c r="L222" s="34"/>
      <c r="M222" s="3">
        <v>2</v>
      </c>
      <c r="N222" s="35"/>
      <c r="O222" s="4"/>
      <c r="P222" s="5" t="b">
        <v>0</v>
      </c>
      <c r="Q222" s="36">
        <f>E222</f>
        <v>1077</v>
      </c>
      <c r="R222" s="36">
        <v>1</v>
      </c>
      <c r="S222" s="3" t="s">
        <v>167</v>
      </c>
      <c r="T222" s="39" t="s">
        <v>168</v>
      </c>
      <c r="V222"/>
      <c r="W222"/>
      <c r="X222"/>
      <c r="Y222" s="89"/>
    </row>
    <row r="223" spans="1:25" hidden="1" x14ac:dyDescent="0.35">
      <c r="A223" s="3" t="str">
        <f t="shared" si="3"/>
        <v>Wen_WS_HS</v>
      </c>
      <c r="B223" s="3">
        <v>9</v>
      </c>
      <c r="C223" s="3">
        <v>3</v>
      </c>
      <c r="D223" s="3" t="s">
        <v>117</v>
      </c>
      <c r="E223" s="3">
        <v>1077</v>
      </c>
      <c r="F223" s="3" t="s">
        <v>166</v>
      </c>
      <c r="G223" s="3" t="s">
        <v>121</v>
      </c>
      <c r="H223" s="3" t="s">
        <v>39</v>
      </c>
      <c r="I223" s="3" t="s">
        <v>25</v>
      </c>
      <c r="J223" s="3" t="s">
        <v>35</v>
      </c>
      <c r="K223" s="3"/>
      <c r="L223" s="3">
        <v>2</v>
      </c>
      <c r="M223" s="3">
        <v>2</v>
      </c>
      <c r="N223" s="4">
        <v>44483</v>
      </c>
      <c r="O223" s="54">
        <v>0.5</v>
      </c>
      <c r="P223" s="5" t="b">
        <v>1</v>
      </c>
      <c r="Q223" s="7">
        <v>1078</v>
      </c>
      <c r="R223" s="7"/>
      <c r="S223" s="3" t="s">
        <v>169</v>
      </c>
      <c r="T223" s="3" t="s">
        <v>220</v>
      </c>
      <c r="V223"/>
      <c r="W223"/>
      <c r="X223"/>
      <c r="Y223" s="89"/>
    </row>
    <row r="224" spans="1:25" ht="29" hidden="1" x14ac:dyDescent="0.35">
      <c r="A224" s="3" t="str">
        <f t="shared" si="3"/>
        <v>Sto_WS_HS</v>
      </c>
      <c r="B224" s="3">
        <v>1</v>
      </c>
      <c r="C224" s="3">
        <v>3</v>
      </c>
      <c r="D224" s="3" t="s">
        <v>117</v>
      </c>
      <c r="E224" s="34">
        <v>1061</v>
      </c>
      <c r="F224" s="3" t="s">
        <v>156</v>
      </c>
      <c r="G224" s="34" t="s">
        <v>121</v>
      </c>
      <c r="H224" s="34" t="s">
        <v>39</v>
      </c>
      <c r="I224" s="34" t="s">
        <v>21</v>
      </c>
      <c r="J224" s="34" t="s">
        <v>22</v>
      </c>
      <c r="K224" s="34" t="s">
        <v>23</v>
      </c>
      <c r="L224" s="34">
        <v>2</v>
      </c>
      <c r="M224" s="34">
        <v>4</v>
      </c>
      <c r="N224" s="35">
        <v>44483</v>
      </c>
      <c r="O224" s="87">
        <v>0.39583333333333331</v>
      </c>
      <c r="P224" s="32" t="b">
        <v>0</v>
      </c>
      <c r="Q224" s="36">
        <f>E224</f>
        <v>1061</v>
      </c>
      <c r="R224" s="36"/>
      <c r="S224" s="34"/>
      <c r="T224" s="39"/>
      <c r="U224" s="86"/>
      <c r="V224" s="89" t="s">
        <v>310</v>
      </c>
      <c r="W224" s="89" t="s">
        <v>302</v>
      </c>
      <c r="X224" s="89"/>
      <c r="Y224" s="89"/>
    </row>
    <row r="225" spans="1:25" hidden="1" x14ac:dyDescent="0.35">
      <c r="A225" s="3" t="str">
        <f t="shared" si="3"/>
        <v>Sto_WW_HS</v>
      </c>
      <c r="B225" s="3">
        <v>10</v>
      </c>
      <c r="C225" s="3">
        <v>3</v>
      </c>
      <c r="D225" s="3" t="s">
        <v>117</v>
      </c>
      <c r="E225" s="3">
        <v>1079</v>
      </c>
      <c r="F225" s="3" t="s">
        <v>170</v>
      </c>
      <c r="G225" s="3" t="s">
        <v>121</v>
      </c>
      <c r="H225" s="3" t="s">
        <v>20</v>
      </c>
      <c r="I225" s="3" t="s">
        <v>21</v>
      </c>
      <c r="J225" s="3" t="s">
        <v>35</v>
      </c>
      <c r="K225" s="3" t="s">
        <v>23</v>
      </c>
      <c r="L225" s="3">
        <v>2</v>
      </c>
      <c r="M225" s="3">
        <v>5</v>
      </c>
      <c r="N225" s="4">
        <v>44482</v>
      </c>
      <c r="O225" s="54">
        <v>0.46875</v>
      </c>
      <c r="P225" s="5" t="b">
        <v>1</v>
      </c>
      <c r="Q225" s="7">
        <v>1080</v>
      </c>
      <c r="R225" s="7"/>
      <c r="S225" s="3"/>
      <c r="T225" s="3"/>
      <c r="V225"/>
      <c r="W225"/>
      <c r="X225"/>
      <c r="Y225" s="89"/>
    </row>
    <row r="226" spans="1:25" ht="29" x14ac:dyDescent="0.35">
      <c r="A226" s="3" t="str">
        <f t="shared" si="3"/>
        <v>Sto_WS_HS</v>
      </c>
      <c r="B226" s="3">
        <v>11</v>
      </c>
      <c r="C226" s="3">
        <v>3</v>
      </c>
      <c r="D226" s="3" t="s">
        <v>117</v>
      </c>
      <c r="E226" s="3">
        <v>1081</v>
      </c>
      <c r="F226" s="3" t="s">
        <v>171</v>
      </c>
      <c r="G226" s="34" t="s">
        <v>121</v>
      </c>
      <c r="H226" s="34" t="s">
        <v>39</v>
      </c>
      <c r="I226" s="34" t="s">
        <v>21</v>
      </c>
      <c r="J226" s="34" t="s">
        <v>26</v>
      </c>
      <c r="K226" s="34" t="s">
        <v>27</v>
      </c>
      <c r="L226" s="34">
        <v>2</v>
      </c>
      <c r="M226" s="3">
        <v>3</v>
      </c>
      <c r="N226" s="35">
        <v>44482</v>
      </c>
      <c r="O226" s="4"/>
      <c r="P226" s="5" t="b">
        <v>0</v>
      </c>
      <c r="Q226" s="36">
        <f>E226</f>
        <v>1081</v>
      </c>
      <c r="R226" s="36">
        <v>1</v>
      </c>
      <c r="S226" s="3"/>
      <c r="T226" s="39" t="s">
        <v>232</v>
      </c>
      <c r="V226"/>
      <c r="W226"/>
      <c r="X226"/>
      <c r="Y226" s="89"/>
    </row>
    <row r="227" spans="1:25" ht="29" hidden="1" x14ac:dyDescent="0.35">
      <c r="A227" s="3" t="str">
        <f t="shared" si="3"/>
        <v>Sto_WS_HS</v>
      </c>
      <c r="B227" s="3">
        <v>11</v>
      </c>
      <c r="C227" s="3">
        <v>3</v>
      </c>
      <c r="D227" s="3" t="s">
        <v>117</v>
      </c>
      <c r="E227" s="34">
        <v>1081</v>
      </c>
      <c r="F227" s="3" t="s">
        <v>171</v>
      </c>
      <c r="G227" s="98" t="s">
        <v>121</v>
      </c>
      <c r="H227" s="98" t="s">
        <v>39</v>
      </c>
      <c r="I227" s="98" t="s">
        <v>21</v>
      </c>
      <c r="J227" s="98"/>
      <c r="K227" s="98"/>
      <c r="L227" s="98"/>
      <c r="M227" s="34">
        <v>3</v>
      </c>
      <c r="N227" s="99">
        <v>44482</v>
      </c>
      <c r="O227" s="35"/>
      <c r="P227" s="32" t="b">
        <v>1</v>
      </c>
      <c r="Q227" s="100">
        <v>1082</v>
      </c>
      <c r="R227" s="100"/>
      <c r="S227" s="34"/>
      <c r="T227" s="101" t="s">
        <v>216</v>
      </c>
      <c r="U227" s="86" t="s">
        <v>302</v>
      </c>
      <c r="V227" s="89"/>
      <c r="W227" s="89"/>
      <c r="X227" s="89"/>
      <c r="Y227" s="89" t="s">
        <v>302</v>
      </c>
    </row>
    <row r="228" spans="1:25" hidden="1" x14ac:dyDescent="0.35">
      <c r="A228" s="3" t="str">
        <f t="shared" si="3"/>
        <v>Sto_WW_HS</v>
      </c>
      <c r="B228" s="3">
        <v>3</v>
      </c>
      <c r="C228" s="3">
        <v>3</v>
      </c>
      <c r="D228" s="3" t="s">
        <v>117</v>
      </c>
      <c r="E228" s="34">
        <v>1065</v>
      </c>
      <c r="F228" s="3" t="s">
        <v>158</v>
      </c>
      <c r="G228" s="34" t="s">
        <v>121</v>
      </c>
      <c r="H228" s="34" t="s">
        <v>20</v>
      </c>
      <c r="I228" s="34" t="s">
        <v>21</v>
      </c>
      <c r="J228" s="34" t="s">
        <v>22</v>
      </c>
      <c r="K228" s="34" t="s">
        <v>23</v>
      </c>
      <c r="L228" s="34">
        <v>2</v>
      </c>
      <c r="M228" s="34">
        <v>4</v>
      </c>
      <c r="N228" s="35">
        <v>44482</v>
      </c>
      <c r="O228" s="87">
        <v>0.34375</v>
      </c>
      <c r="P228" s="32" t="b">
        <v>0</v>
      </c>
      <c r="Q228" s="36">
        <f>E228</f>
        <v>1065</v>
      </c>
      <c r="R228" s="36"/>
      <c r="S228" s="34"/>
      <c r="T228" s="39"/>
      <c r="U228" s="86"/>
      <c r="V228" s="89"/>
      <c r="W228" s="89" t="s">
        <v>302</v>
      </c>
      <c r="X228" s="89"/>
      <c r="Y228" s="89"/>
    </row>
    <row r="229" spans="1:25" hidden="1" x14ac:dyDescent="0.35">
      <c r="A229" s="3" t="str">
        <f t="shared" si="3"/>
        <v>Wen_WW_HS</v>
      </c>
      <c r="B229" s="3">
        <v>12</v>
      </c>
      <c r="C229" s="3">
        <v>3</v>
      </c>
      <c r="D229" s="3" t="s">
        <v>117</v>
      </c>
      <c r="E229" s="3">
        <v>1083</v>
      </c>
      <c r="F229" s="3" t="s">
        <v>172</v>
      </c>
      <c r="G229" s="3" t="s">
        <v>121</v>
      </c>
      <c r="H229" s="3" t="s">
        <v>20</v>
      </c>
      <c r="I229" s="3" t="s">
        <v>25</v>
      </c>
      <c r="J229" s="3" t="s">
        <v>35</v>
      </c>
      <c r="K229" s="3" t="s">
        <v>23</v>
      </c>
      <c r="L229" s="3">
        <v>2</v>
      </c>
      <c r="M229" s="3">
        <v>5</v>
      </c>
      <c r="N229" s="4">
        <v>44482</v>
      </c>
      <c r="O229" s="54">
        <v>0.46875</v>
      </c>
      <c r="P229" s="5" t="b">
        <v>1</v>
      </c>
      <c r="Q229" s="7">
        <v>1084</v>
      </c>
      <c r="R229" s="7"/>
      <c r="S229" s="3"/>
      <c r="T229" s="3"/>
      <c r="V229"/>
      <c r="W229"/>
      <c r="X229"/>
      <c r="Y229" s="89"/>
    </row>
    <row r="230" spans="1:25" x14ac:dyDescent="0.35">
      <c r="A230" s="3" t="str">
        <f t="shared" si="3"/>
        <v>Sto_WW_HS</v>
      </c>
      <c r="B230" s="3">
        <v>13</v>
      </c>
      <c r="C230" s="3">
        <v>3</v>
      </c>
      <c r="D230" s="3" t="s">
        <v>117</v>
      </c>
      <c r="E230" s="3">
        <v>1085</v>
      </c>
      <c r="F230" s="3" t="s">
        <v>173</v>
      </c>
      <c r="G230" s="34" t="s">
        <v>121</v>
      </c>
      <c r="H230" s="34" t="s">
        <v>20</v>
      </c>
      <c r="I230" s="34" t="s">
        <v>21</v>
      </c>
      <c r="J230" s="34" t="s">
        <v>26</v>
      </c>
      <c r="K230" s="34" t="s">
        <v>27</v>
      </c>
      <c r="L230" s="34">
        <v>2</v>
      </c>
      <c r="M230" s="3">
        <v>3</v>
      </c>
      <c r="N230" s="35">
        <v>44482</v>
      </c>
      <c r="O230" s="4"/>
      <c r="P230" s="5" t="b">
        <v>0</v>
      </c>
      <c r="Q230" s="36">
        <f>E230</f>
        <v>1085</v>
      </c>
      <c r="R230" s="36">
        <v>1</v>
      </c>
      <c r="S230" s="3"/>
      <c r="T230" s="39"/>
      <c r="V230"/>
      <c r="W230"/>
      <c r="X230"/>
      <c r="Y230" s="89"/>
    </row>
    <row r="231" spans="1:25" hidden="1" x14ac:dyDescent="0.35">
      <c r="A231" s="3" t="str">
        <f t="shared" si="3"/>
        <v>Sto_WW_HS</v>
      </c>
      <c r="B231" s="3">
        <v>13</v>
      </c>
      <c r="C231" s="3">
        <v>3</v>
      </c>
      <c r="D231" s="3" t="s">
        <v>117</v>
      </c>
      <c r="E231" s="3">
        <v>1085</v>
      </c>
      <c r="F231" s="3" t="s">
        <v>173</v>
      </c>
      <c r="G231" s="3" t="s">
        <v>121</v>
      </c>
      <c r="H231" s="3" t="s">
        <v>20</v>
      </c>
      <c r="I231" s="3" t="s">
        <v>21</v>
      </c>
      <c r="J231" s="3" t="s">
        <v>28</v>
      </c>
      <c r="K231" s="3" t="s">
        <v>27</v>
      </c>
      <c r="L231" s="3">
        <v>2</v>
      </c>
      <c r="M231" s="3">
        <v>3</v>
      </c>
      <c r="N231" s="4">
        <v>44482</v>
      </c>
      <c r="O231" s="4"/>
      <c r="P231" s="5" t="b">
        <v>1</v>
      </c>
      <c r="Q231" s="7">
        <v>1086</v>
      </c>
      <c r="R231" s="7"/>
      <c r="S231" s="3"/>
      <c r="T231" s="3"/>
      <c r="V231"/>
      <c r="W231"/>
      <c r="X231"/>
      <c r="Y231" s="89"/>
    </row>
    <row r="232" spans="1:25" hidden="1" x14ac:dyDescent="0.35">
      <c r="A232" s="3" t="str">
        <f t="shared" si="3"/>
        <v>Wen_WS_HS</v>
      </c>
      <c r="B232" s="3">
        <v>6</v>
      </c>
      <c r="C232" s="3">
        <v>3</v>
      </c>
      <c r="D232" s="3" t="s">
        <v>117</v>
      </c>
      <c r="E232" s="34">
        <v>1071</v>
      </c>
      <c r="F232" s="3" t="s">
        <v>163</v>
      </c>
      <c r="G232" s="34" t="s">
        <v>121</v>
      </c>
      <c r="H232" s="34" t="s">
        <v>39</v>
      </c>
      <c r="I232" s="34" t="s">
        <v>25</v>
      </c>
      <c r="J232" s="34" t="s">
        <v>22</v>
      </c>
      <c r="K232" s="34" t="s">
        <v>23</v>
      </c>
      <c r="L232" s="34">
        <v>2</v>
      </c>
      <c r="M232" s="34">
        <v>4</v>
      </c>
      <c r="N232" s="35">
        <v>44482</v>
      </c>
      <c r="O232" s="87">
        <v>0.46875</v>
      </c>
      <c r="P232" s="32" t="b">
        <v>0</v>
      </c>
      <c r="Q232" s="36">
        <f>E232</f>
        <v>1071</v>
      </c>
      <c r="R232" s="36"/>
      <c r="S232" s="34"/>
      <c r="T232" s="39"/>
      <c r="U232" s="86"/>
      <c r="V232" s="89" t="s">
        <v>306</v>
      </c>
      <c r="W232" s="89" t="s">
        <v>302</v>
      </c>
      <c r="X232" s="89"/>
      <c r="Y232" s="89" t="s">
        <v>302</v>
      </c>
    </row>
    <row r="233" spans="1:25" hidden="1" x14ac:dyDescent="0.35">
      <c r="A233" s="3" t="str">
        <f t="shared" si="3"/>
        <v>Wen_WS_HS</v>
      </c>
      <c r="B233" s="3">
        <v>14</v>
      </c>
      <c r="C233" s="3">
        <v>3</v>
      </c>
      <c r="D233" s="3" t="s">
        <v>117</v>
      </c>
      <c r="E233" s="3">
        <v>1087</v>
      </c>
      <c r="F233" s="3" t="s">
        <v>174</v>
      </c>
      <c r="G233" s="3" t="s">
        <v>121</v>
      </c>
      <c r="H233" s="3" t="s">
        <v>39</v>
      </c>
      <c r="I233" s="3" t="s">
        <v>25</v>
      </c>
      <c r="J233" s="3" t="s">
        <v>35</v>
      </c>
      <c r="K233" s="3" t="s">
        <v>23</v>
      </c>
      <c r="L233" s="3">
        <v>2</v>
      </c>
      <c r="M233" s="3">
        <v>5</v>
      </c>
      <c r="N233" s="4">
        <v>44482</v>
      </c>
      <c r="O233" s="54">
        <v>0.46875</v>
      </c>
      <c r="P233" s="5" t="b">
        <v>1</v>
      </c>
      <c r="Q233" s="7">
        <v>1088</v>
      </c>
      <c r="R233" s="7"/>
      <c r="S233" s="3"/>
      <c r="T233" s="3" t="s">
        <v>213</v>
      </c>
      <c r="V233"/>
      <c r="W233"/>
      <c r="X233"/>
      <c r="Y233" s="89"/>
    </row>
    <row r="234" spans="1:25" x14ac:dyDescent="0.35">
      <c r="A234" s="3" t="str">
        <f t="shared" si="3"/>
        <v>Wen_WW_HS</v>
      </c>
      <c r="B234" s="3">
        <v>15</v>
      </c>
      <c r="C234" s="3">
        <v>3</v>
      </c>
      <c r="D234" s="3" t="s">
        <v>117</v>
      </c>
      <c r="E234" s="3">
        <v>1089</v>
      </c>
      <c r="F234" s="3" t="s">
        <v>175</v>
      </c>
      <c r="G234" s="34" t="s">
        <v>121</v>
      </c>
      <c r="H234" s="34" t="s">
        <v>20</v>
      </c>
      <c r="I234" s="34" t="s">
        <v>25</v>
      </c>
      <c r="J234" s="34" t="s">
        <v>26</v>
      </c>
      <c r="K234" s="34" t="s">
        <v>27</v>
      </c>
      <c r="L234" s="34">
        <v>2</v>
      </c>
      <c r="M234" s="3">
        <v>3</v>
      </c>
      <c r="N234" s="35">
        <v>44482</v>
      </c>
      <c r="O234" s="4"/>
      <c r="P234" s="5" t="b">
        <v>0</v>
      </c>
      <c r="Q234" s="36">
        <f>E234</f>
        <v>1089</v>
      </c>
      <c r="R234" s="36">
        <v>1</v>
      </c>
      <c r="S234" s="3"/>
      <c r="T234" s="39"/>
      <c r="V234"/>
      <c r="W234"/>
      <c r="X234"/>
      <c r="Y234" s="89"/>
    </row>
    <row r="235" spans="1:25" hidden="1" x14ac:dyDescent="0.35">
      <c r="A235" s="3" t="str">
        <f t="shared" si="3"/>
        <v>Wen_WW_HS</v>
      </c>
      <c r="B235" s="3">
        <v>15</v>
      </c>
      <c r="C235" s="3">
        <v>3</v>
      </c>
      <c r="D235" s="3" t="s">
        <v>117</v>
      </c>
      <c r="E235" s="3">
        <v>1089</v>
      </c>
      <c r="F235" s="3" t="s">
        <v>175</v>
      </c>
      <c r="G235" s="3" t="s">
        <v>121</v>
      </c>
      <c r="H235" s="3" t="s">
        <v>20</v>
      </c>
      <c r="I235" s="3" t="s">
        <v>25</v>
      </c>
      <c r="J235" s="3" t="s">
        <v>28</v>
      </c>
      <c r="K235" s="3" t="s">
        <v>27</v>
      </c>
      <c r="L235" s="3">
        <v>2</v>
      </c>
      <c r="M235" s="3">
        <v>3</v>
      </c>
      <c r="N235" s="4">
        <v>44482</v>
      </c>
      <c r="O235" s="4"/>
      <c r="P235" s="5" t="b">
        <v>1</v>
      </c>
      <c r="Q235" s="7">
        <v>1090</v>
      </c>
      <c r="R235" s="7"/>
      <c r="S235" s="3"/>
      <c r="T235" s="3"/>
      <c r="V235"/>
      <c r="W235"/>
      <c r="X235"/>
      <c r="Y235" s="89"/>
    </row>
    <row r="236" spans="1:25" hidden="1" x14ac:dyDescent="0.35">
      <c r="A236" s="3" t="str">
        <f t="shared" si="3"/>
        <v>Sto_WS_HS</v>
      </c>
      <c r="B236" s="3">
        <v>8</v>
      </c>
      <c r="C236" s="3">
        <v>3</v>
      </c>
      <c r="D236" s="3" t="s">
        <v>117</v>
      </c>
      <c r="E236" s="34">
        <v>1075</v>
      </c>
      <c r="F236" s="3" t="s">
        <v>165</v>
      </c>
      <c r="G236" s="34" t="s">
        <v>121</v>
      </c>
      <c r="H236" s="34" t="s">
        <v>39</v>
      </c>
      <c r="I236" s="34" t="s">
        <v>21</v>
      </c>
      <c r="J236" s="34" t="s">
        <v>22</v>
      </c>
      <c r="K236" s="34" t="s">
        <v>23</v>
      </c>
      <c r="L236" s="34">
        <v>2</v>
      </c>
      <c r="M236" s="34">
        <v>5</v>
      </c>
      <c r="N236" s="35">
        <v>44482</v>
      </c>
      <c r="O236" s="87">
        <v>0.46875</v>
      </c>
      <c r="P236" s="32" t="b">
        <v>0</v>
      </c>
      <c r="Q236" s="36">
        <f>E236</f>
        <v>1075</v>
      </c>
      <c r="R236" s="36"/>
      <c r="S236" s="34"/>
      <c r="T236" s="39"/>
      <c r="U236" s="86" t="s">
        <v>311</v>
      </c>
      <c r="V236" s="89"/>
      <c r="W236" s="89" t="s">
        <v>302</v>
      </c>
      <c r="X236" s="89"/>
      <c r="Y236" s="89"/>
    </row>
    <row r="237" spans="1:25" hidden="1" x14ac:dyDescent="0.35">
      <c r="A237" s="3" t="str">
        <f t="shared" si="3"/>
        <v>Sto_WS_HS</v>
      </c>
      <c r="B237" s="3">
        <v>16</v>
      </c>
      <c r="C237" s="3">
        <v>3</v>
      </c>
      <c r="D237" s="3" t="s">
        <v>117</v>
      </c>
      <c r="E237" s="3">
        <v>1091</v>
      </c>
      <c r="F237" s="3" t="s">
        <v>176</v>
      </c>
      <c r="G237" s="3" t="s">
        <v>121</v>
      </c>
      <c r="H237" s="3" t="s">
        <v>39</v>
      </c>
      <c r="I237" s="3" t="s">
        <v>21</v>
      </c>
      <c r="J237" s="3" t="s">
        <v>35</v>
      </c>
      <c r="K237" s="3" t="s">
        <v>23</v>
      </c>
      <c r="L237" s="3">
        <v>2</v>
      </c>
      <c r="M237" s="3">
        <v>6</v>
      </c>
      <c r="N237" s="4">
        <v>44482</v>
      </c>
      <c r="O237" s="54">
        <v>0.46875</v>
      </c>
      <c r="P237" s="5" t="b">
        <v>1</v>
      </c>
      <c r="Q237" s="7">
        <v>1092</v>
      </c>
      <c r="R237" s="7"/>
      <c r="S237" s="3"/>
      <c r="T237" s="3"/>
      <c r="V237"/>
      <c r="W237"/>
      <c r="X237"/>
      <c r="Y237" s="89"/>
    </row>
    <row r="238" spans="1:25" hidden="1" x14ac:dyDescent="0.35">
      <c r="A238" s="3" t="str">
        <f t="shared" si="3"/>
        <v>Sto_WW_HS</v>
      </c>
      <c r="B238" s="3">
        <v>10</v>
      </c>
      <c r="C238" s="3">
        <v>3</v>
      </c>
      <c r="D238" s="3" t="s">
        <v>117</v>
      </c>
      <c r="E238" s="34">
        <v>1079</v>
      </c>
      <c r="F238" s="3" t="s">
        <v>170</v>
      </c>
      <c r="G238" s="34" t="s">
        <v>121</v>
      </c>
      <c r="H238" s="34" t="s">
        <v>20</v>
      </c>
      <c r="I238" s="34" t="s">
        <v>21</v>
      </c>
      <c r="J238" s="34" t="s">
        <v>22</v>
      </c>
      <c r="K238" s="34" t="s">
        <v>23</v>
      </c>
      <c r="L238" s="34">
        <v>2</v>
      </c>
      <c r="M238" s="34">
        <v>5</v>
      </c>
      <c r="N238" s="35">
        <v>44482</v>
      </c>
      <c r="O238" s="87">
        <v>0.46875</v>
      </c>
      <c r="P238" s="32" t="b">
        <v>0</v>
      </c>
      <c r="Q238" s="36">
        <f>E238</f>
        <v>1079</v>
      </c>
      <c r="R238" s="36"/>
      <c r="S238" s="34"/>
      <c r="T238" s="39"/>
      <c r="U238" s="86"/>
      <c r="V238" s="89"/>
      <c r="W238" s="89" t="s">
        <v>302</v>
      </c>
      <c r="X238" s="89"/>
      <c r="Y238" s="89"/>
    </row>
    <row r="239" spans="1:25" hidden="1" x14ac:dyDescent="0.35">
      <c r="A239" s="3" t="str">
        <f t="shared" si="3"/>
        <v>Sto_WW_HS</v>
      </c>
      <c r="B239" s="3">
        <v>17</v>
      </c>
      <c r="C239" s="3">
        <v>3</v>
      </c>
      <c r="D239" s="3" t="s">
        <v>117</v>
      </c>
      <c r="E239" s="3">
        <v>1093</v>
      </c>
      <c r="F239" s="3" t="s">
        <v>177</v>
      </c>
      <c r="G239" s="3" t="s">
        <v>121</v>
      </c>
      <c r="H239" s="3" t="s">
        <v>20</v>
      </c>
      <c r="I239" s="3" t="s">
        <v>21</v>
      </c>
      <c r="J239" s="3" t="s">
        <v>35</v>
      </c>
      <c r="K239" s="3" t="s">
        <v>23</v>
      </c>
      <c r="L239" s="3">
        <v>2</v>
      </c>
      <c r="M239" s="3">
        <v>6</v>
      </c>
      <c r="N239" s="4">
        <v>44482</v>
      </c>
      <c r="O239" s="54">
        <v>0.46875</v>
      </c>
      <c r="P239" s="5" t="b">
        <v>1</v>
      </c>
      <c r="Q239" s="7">
        <v>1094</v>
      </c>
      <c r="R239" s="7"/>
      <c r="S239" s="3"/>
      <c r="T239" s="3"/>
      <c r="V239"/>
      <c r="W239"/>
      <c r="X239"/>
      <c r="Y239" s="89"/>
    </row>
    <row r="240" spans="1:25" x14ac:dyDescent="0.35">
      <c r="A240" s="3" t="str">
        <f t="shared" si="3"/>
        <v>Wen_WS_HS</v>
      </c>
      <c r="B240" s="3">
        <v>18</v>
      </c>
      <c r="C240" s="3">
        <v>3</v>
      </c>
      <c r="D240" s="3" t="s">
        <v>117</v>
      </c>
      <c r="E240" s="3">
        <v>1095</v>
      </c>
      <c r="F240" s="3" t="s">
        <v>178</v>
      </c>
      <c r="G240" s="34" t="s">
        <v>121</v>
      </c>
      <c r="H240" s="34" t="s">
        <v>39</v>
      </c>
      <c r="I240" s="34" t="s">
        <v>25</v>
      </c>
      <c r="J240" s="34" t="s">
        <v>26</v>
      </c>
      <c r="K240" s="34" t="s">
        <v>27</v>
      </c>
      <c r="L240" s="34">
        <v>2</v>
      </c>
      <c r="M240" s="3">
        <v>3</v>
      </c>
      <c r="N240" s="35">
        <v>44482</v>
      </c>
      <c r="O240" s="4"/>
      <c r="P240" s="5" t="b">
        <v>0</v>
      </c>
      <c r="Q240" s="36">
        <f>E240</f>
        <v>1095</v>
      </c>
      <c r="R240" s="36">
        <v>1</v>
      </c>
      <c r="S240" s="3"/>
      <c r="T240" s="39"/>
      <c r="V240"/>
      <c r="W240"/>
      <c r="X240"/>
      <c r="Y240" s="89"/>
    </row>
    <row r="241" spans="1:25" hidden="1" x14ac:dyDescent="0.35">
      <c r="A241" s="3" t="str">
        <f t="shared" si="3"/>
        <v>Wen_WS_HS</v>
      </c>
      <c r="B241" s="3">
        <v>18</v>
      </c>
      <c r="C241" s="3">
        <v>3</v>
      </c>
      <c r="D241" s="3" t="s">
        <v>117</v>
      </c>
      <c r="E241" s="3">
        <v>1095</v>
      </c>
      <c r="F241" s="3" t="s">
        <v>178</v>
      </c>
      <c r="G241" s="3" t="s">
        <v>121</v>
      </c>
      <c r="H241" s="3" t="s">
        <v>39</v>
      </c>
      <c r="I241" s="3" t="s">
        <v>25</v>
      </c>
      <c r="J241" s="3" t="s">
        <v>28</v>
      </c>
      <c r="K241" s="3" t="s">
        <v>27</v>
      </c>
      <c r="L241" s="3">
        <v>2</v>
      </c>
      <c r="M241" s="3">
        <v>3</v>
      </c>
      <c r="N241" s="4">
        <v>44482</v>
      </c>
      <c r="O241" s="4"/>
      <c r="P241" s="5" t="b">
        <v>1</v>
      </c>
      <c r="Q241" s="7">
        <v>1096</v>
      </c>
      <c r="R241" s="7"/>
      <c r="S241" s="3"/>
      <c r="T241" s="3"/>
      <c r="V241"/>
      <c r="W241"/>
      <c r="X241"/>
      <c r="Y241" s="89"/>
    </row>
    <row r="242" spans="1:25" hidden="1" x14ac:dyDescent="0.35">
      <c r="A242" s="3" t="str">
        <f t="shared" si="3"/>
        <v>Wen_WW_HS</v>
      </c>
      <c r="B242" s="3">
        <v>12</v>
      </c>
      <c r="C242" s="3">
        <v>3</v>
      </c>
      <c r="D242" s="3" t="s">
        <v>117</v>
      </c>
      <c r="E242" s="34">
        <v>1083</v>
      </c>
      <c r="F242" s="3" t="s">
        <v>172</v>
      </c>
      <c r="G242" s="34" t="s">
        <v>121</v>
      </c>
      <c r="H242" s="34" t="s">
        <v>20</v>
      </c>
      <c r="I242" s="34" t="s">
        <v>25</v>
      </c>
      <c r="J242" s="34" t="s">
        <v>22</v>
      </c>
      <c r="K242" s="34" t="s">
        <v>23</v>
      </c>
      <c r="L242" s="34">
        <v>2</v>
      </c>
      <c r="M242" s="34">
        <v>5</v>
      </c>
      <c r="N242" s="35">
        <v>44482</v>
      </c>
      <c r="O242" s="87">
        <v>0.46875</v>
      </c>
      <c r="P242" s="32" t="b">
        <v>0</v>
      </c>
      <c r="Q242" s="36">
        <f>E242</f>
        <v>1083</v>
      </c>
      <c r="R242" s="36"/>
      <c r="S242" s="34"/>
      <c r="T242" s="39"/>
      <c r="U242" s="86"/>
      <c r="V242" s="89"/>
      <c r="W242" s="89" t="s">
        <v>302</v>
      </c>
      <c r="X242" s="89"/>
      <c r="Y242" s="89"/>
    </row>
    <row r="243" spans="1:25" hidden="1" x14ac:dyDescent="0.35">
      <c r="A243" s="3" t="str">
        <f t="shared" si="3"/>
        <v>Wen_WW_HS</v>
      </c>
      <c r="B243" s="3">
        <v>19</v>
      </c>
      <c r="C243" s="3">
        <v>3</v>
      </c>
      <c r="D243" s="3" t="s">
        <v>117</v>
      </c>
      <c r="E243" s="3">
        <v>1097</v>
      </c>
      <c r="F243" s="3" t="s">
        <v>179</v>
      </c>
      <c r="G243" s="3" t="s">
        <v>121</v>
      </c>
      <c r="H243" s="3" t="s">
        <v>20</v>
      </c>
      <c r="I243" s="3" t="s">
        <v>25</v>
      </c>
      <c r="J243" s="3" t="s">
        <v>35</v>
      </c>
      <c r="K243" s="3" t="s">
        <v>23</v>
      </c>
      <c r="L243" s="3">
        <v>2</v>
      </c>
      <c r="M243" s="3">
        <v>6</v>
      </c>
      <c r="N243" s="4">
        <v>44483</v>
      </c>
      <c r="O243" s="54">
        <v>0.39583333333333331</v>
      </c>
      <c r="P243" s="5" t="b">
        <v>1</v>
      </c>
      <c r="Q243" s="7">
        <v>1098</v>
      </c>
      <c r="R243" s="7"/>
      <c r="S243" s="3"/>
      <c r="T243" s="3"/>
      <c r="V243"/>
      <c r="W243"/>
      <c r="X243"/>
      <c r="Y243" s="89"/>
    </row>
    <row r="244" spans="1:25" hidden="1" x14ac:dyDescent="0.35">
      <c r="A244" s="3" t="str">
        <f t="shared" si="3"/>
        <v>Wen_WS_HS</v>
      </c>
      <c r="B244" s="3">
        <v>14</v>
      </c>
      <c r="C244" s="3">
        <v>3</v>
      </c>
      <c r="D244" s="3" t="s">
        <v>117</v>
      </c>
      <c r="E244" s="34">
        <v>1087</v>
      </c>
      <c r="F244" s="3" t="s">
        <v>174</v>
      </c>
      <c r="G244" s="34" t="s">
        <v>121</v>
      </c>
      <c r="H244" s="34" t="s">
        <v>39</v>
      </c>
      <c r="I244" s="34" t="s">
        <v>25</v>
      </c>
      <c r="J244" s="34" t="s">
        <v>22</v>
      </c>
      <c r="K244" s="34" t="s">
        <v>23</v>
      </c>
      <c r="L244" s="34">
        <v>2</v>
      </c>
      <c r="M244" s="34">
        <v>5</v>
      </c>
      <c r="N244" s="35">
        <v>44482</v>
      </c>
      <c r="O244" s="87">
        <v>0.46875</v>
      </c>
      <c r="P244" s="32" t="b">
        <v>0</v>
      </c>
      <c r="Q244" s="36">
        <f>E244</f>
        <v>1087</v>
      </c>
      <c r="R244" s="36"/>
      <c r="S244" s="34"/>
      <c r="T244" s="39"/>
      <c r="U244" s="86"/>
      <c r="V244" s="89"/>
      <c r="W244" s="89" t="s">
        <v>302</v>
      </c>
      <c r="X244" s="89"/>
      <c r="Y244" s="89"/>
    </row>
    <row r="245" spans="1:25" hidden="1" x14ac:dyDescent="0.35">
      <c r="A245" s="3" t="str">
        <f t="shared" si="3"/>
        <v>Wen_WS_HS</v>
      </c>
      <c r="B245" s="3">
        <v>20</v>
      </c>
      <c r="C245" s="3">
        <v>3</v>
      </c>
      <c r="D245" s="3" t="s">
        <v>117</v>
      </c>
      <c r="E245" s="3">
        <v>1099</v>
      </c>
      <c r="F245" s="3" t="s">
        <v>180</v>
      </c>
      <c r="G245" s="3" t="s">
        <v>121</v>
      </c>
      <c r="H245" s="3" t="s">
        <v>39</v>
      </c>
      <c r="I245" s="3" t="s">
        <v>25</v>
      </c>
      <c r="J245" s="3" t="s">
        <v>35</v>
      </c>
      <c r="K245" s="3" t="s">
        <v>23</v>
      </c>
      <c r="L245" s="3">
        <v>2</v>
      </c>
      <c r="M245" s="3">
        <v>6</v>
      </c>
      <c r="N245" s="4">
        <v>44482</v>
      </c>
      <c r="O245" s="54">
        <v>0.34375</v>
      </c>
      <c r="P245" s="5" t="b">
        <v>1</v>
      </c>
      <c r="Q245" s="7">
        <v>1100</v>
      </c>
      <c r="R245" s="7"/>
      <c r="S245" s="3"/>
      <c r="T245" s="3" t="s">
        <v>210</v>
      </c>
      <c r="V245"/>
      <c r="W245"/>
      <c r="X245"/>
      <c r="Y245" s="89"/>
    </row>
    <row r="246" spans="1:25" x14ac:dyDescent="0.35">
      <c r="A246" s="3" t="str">
        <f t="shared" si="3"/>
        <v>Sto_WW_HS</v>
      </c>
      <c r="B246" s="3">
        <v>21</v>
      </c>
      <c r="C246" s="3">
        <v>3</v>
      </c>
      <c r="D246" s="3" t="s">
        <v>117</v>
      </c>
      <c r="E246" s="3">
        <v>1101</v>
      </c>
      <c r="F246" s="3" t="s">
        <v>181</v>
      </c>
      <c r="G246" s="34" t="s">
        <v>121</v>
      </c>
      <c r="H246" s="34" t="s">
        <v>20</v>
      </c>
      <c r="I246" s="34" t="s">
        <v>21</v>
      </c>
      <c r="J246" s="34" t="s">
        <v>26</v>
      </c>
      <c r="K246" s="34" t="s">
        <v>27</v>
      </c>
      <c r="L246" s="34">
        <v>2</v>
      </c>
      <c r="M246" s="3"/>
      <c r="N246" s="35">
        <v>44482</v>
      </c>
      <c r="O246" s="4"/>
      <c r="P246" s="5" t="b">
        <v>0</v>
      </c>
      <c r="Q246" s="36">
        <f>E246</f>
        <v>1101</v>
      </c>
      <c r="R246" s="36">
        <v>1</v>
      </c>
      <c r="S246" s="3"/>
      <c r="T246" s="39"/>
      <c r="V246"/>
      <c r="W246"/>
      <c r="X246"/>
      <c r="Y246" s="89"/>
    </row>
    <row r="247" spans="1:25" hidden="1" x14ac:dyDescent="0.35">
      <c r="A247" s="3" t="str">
        <f t="shared" si="3"/>
        <v>Sto_WW_HS</v>
      </c>
      <c r="B247" s="3">
        <v>21</v>
      </c>
      <c r="C247" s="3">
        <v>3</v>
      </c>
      <c r="D247" s="3" t="s">
        <v>117</v>
      </c>
      <c r="E247" s="3">
        <v>1101</v>
      </c>
      <c r="F247" s="3" t="s">
        <v>181</v>
      </c>
      <c r="G247" s="3" t="s">
        <v>121</v>
      </c>
      <c r="H247" s="3" t="s">
        <v>20</v>
      </c>
      <c r="I247" s="3" t="s">
        <v>21</v>
      </c>
      <c r="J247" s="3" t="s">
        <v>28</v>
      </c>
      <c r="K247" s="3" t="s">
        <v>27</v>
      </c>
      <c r="L247" s="3">
        <v>2</v>
      </c>
      <c r="M247" s="3"/>
      <c r="N247" s="4">
        <v>44482</v>
      </c>
      <c r="O247" s="4"/>
      <c r="P247" s="5" t="b">
        <v>1</v>
      </c>
      <c r="Q247" s="7">
        <v>1102</v>
      </c>
      <c r="R247" s="7"/>
      <c r="S247" s="3"/>
      <c r="T247" s="3"/>
      <c r="V247"/>
      <c r="W247"/>
      <c r="X247"/>
      <c r="Y247" s="89"/>
    </row>
    <row r="248" spans="1:25" hidden="1" x14ac:dyDescent="0.35">
      <c r="A248" s="3" t="str">
        <f t="shared" si="3"/>
        <v>Sto_WS_HS</v>
      </c>
      <c r="B248" s="3">
        <v>16</v>
      </c>
      <c r="C248" s="3">
        <v>3</v>
      </c>
      <c r="D248" s="3" t="s">
        <v>117</v>
      </c>
      <c r="E248" s="34">
        <v>1091</v>
      </c>
      <c r="F248" s="3" t="s">
        <v>176</v>
      </c>
      <c r="G248" s="34" t="s">
        <v>121</v>
      </c>
      <c r="H248" s="34" t="s">
        <v>39</v>
      </c>
      <c r="I248" s="34" t="s">
        <v>21</v>
      </c>
      <c r="J248" s="34" t="s">
        <v>22</v>
      </c>
      <c r="K248" s="34" t="s">
        <v>23</v>
      </c>
      <c r="L248" s="34">
        <v>2</v>
      </c>
      <c r="M248" s="34">
        <v>6</v>
      </c>
      <c r="N248" s="35">
        <v>44482</v>
      </c>
      <c r="O248" s="87">
        <v>0.46875</v>
      </c>
      <c r="P248" s="32" t="b">
        <v>0</v>
      </c>
      <c r="Q248" s="36">
        <f>E248</f>
        <v>1091</v>
      </c>
      <c r="R248" s="36"/>
      <c r="S248" s="34"/>
      <c r="T248" s="39"/>
      <c r="U248" s="86" t="s">
        <v>312</v>
      </c>
      <c r="V248" s="89" t="s">
        <v>305</v>
      </c>
      <c r="W248" s="89" t="s">
        <v>302</v>
      </c>
      <c r="X248" s="89"/>
      <c r="Y248" s="89"/>
    </row>
    <row r="249" spans="1:25" hidden="1" x14ac:dyDescent="0.35">
      <c r="A249" s="3" t="str">
        <f t="shared" si="3"/>
        <v>Wen_WS_HS</v>
      </c>
      <c r="B249" s="3">
        <v>1</v>
      </c>
      <c r="C249" s="3">
        <v>2</v>
      </c>
      <c r="D249" s="3" t="s">
        <v>117</v>
      </c>
      <c r="E249" s="3">
        <v>1103</v>
      </c>
      <c r="F249" s="3" t="s">
        <v>182</v>
      </c>
      <c r="G249" s="3" t="s">
        <v>121</v>
      </c>
      <c r="H249" s="3" t="s">
        <v>39</v>
      </c>
      <c r="I249" s="3" t="s">
        <v>25</v>
      </c>
      <c r="J249" s="3" t="s">
        <v>35</v>
      </c>
      <c r="K249" s="3" t="s">
        <v>23</v>
      </c>
      <c r="L249" s="3">
        <v>2</v>
      </c>
      <c r="M249" s="3">
        <v>7</v>
      </c>
      <c r="N249" s="4">
        <v>44483</v>
      </c>
      <c r="O249" s="54">
        <v>0.39583333333333331</v>
      </c>
      <c r="P249" s="5" t="b">
        <v>1</v>
      </c>
      <c r="Q249" s="7">
        <v>1104</v>
      </c>
      <c r="R249" s="7"/>
      <c r="S249" s="3"/>
      <c r="T249" s="3"/>
      <c r="V249"/>
      <c r="W249"/>
      <c r="X249"/>
      <c r="Y249" s="89"/>
    </row>
    <row r="250" spans="1:25" hidden="1" x14ac:dyDescent="0.35">
      <c r="A250" s="3" t="str">
        <f t="shared" si="3"/>
        <v>Sto_WW_HS</v>
      </c>
      <c r="B250" s="3">
        <v>17</v>
      </c>
      <c r="C250" s="3">
        <v>3</v>
      </c>
      <c r="D250" s="3" t="s">
        <v>117</v>
      </c>
      <c r="E250" s="34">
        <v>1093</v>
      </c>
      <c r="F250" s="3" t="s">
        <v>177</v>
      </c>
      <c r="G250" s="34" t="s">
        <v>121</v>
      </c>
      <c r="H250" s="34" t="s">
        <v>20</v>
      </c>
      <c r="I250" s="34" t="s">
        <v>21</v>
      </c>
      <c r="J250" s="34" t="s">
        <v>22</v>
      </c>
      <c r="K250" s="34" t="s">
        <v>23</v>
      </c>
      <c r="L250" s="34">
        <v>2</v>
      </c>
      <c r="M250" s="34">
        <v>6</v>
      </c>
      <c r="N250" s="35">
        <v>44482</v>
      </c>
      <c r="O250" s="87">
        <v>0.46875</v>
      </c>
      <c r="P250" s="32" t="b">
        <v>0</v>
      </c>
      <c r="Q250" s="36">
        <f>E250</f>
        <v>1093</v>
      </c>
      <c r="R250" s="36"/>
      <c r="S250" s="34"/>
      <c r="T250" s="39"/>
      <c r="U250" s="86"/>
      <c r="V250" s="89"/>
      <c r="W250" s="89" t="s">
        <v>302</v>
      </c>
      <c r="X250" s="89"/>
      <c r="Y250" s="89"/>
    </row>
    <row r="251" spans="1:25" hidden="1" x14ac:dyDescent="0.35">
      <c r="A251" s="3" t="str">
        <f t="shared" si="3"/>
        <v>Sto_WS_HS</v>
      </c>
      <c r="B251" s="3">
        <v>2</v>
      </c>
      <c r="C251" s="3">
        <v>2</v>
      </c>
      <c r="D251" s="3" t="s">
        <v>117</v>
      </c>
      <c r="E251" s="3">
        <v>1105</v>
      </c>
      <c r="F251" s="3" t="s">
        <v>183</v>
      </c>
      <c r="G251" s="3" t="s">
        <v>121</v>
      </c>
      <c r="H251" s="3" t="s">
        <v>39</v>
      </c>
      <c r="I251" s="3" t="s">
        <v>21</v>
      </c>
      <c r="J251" s="3" t="s">
        <v>35</v>
      </c>
      <c r="K251" s="3" t="s">
        <v>23</v>
      </c>
      <c r="L251" s="3">
        <v>2</v>
      </c>
      <c r="M251" s="3">
        <v>7</v>
      </c>
      <c r="N251" s="4">
        <v>44483</v>
      </c>
      <c r="O251" s="54">
        <v>0.39583333333333331</v>
      </c>
      <c r="P251" s="5" t="b">
        <v>1</v>
      </c>
      <c r="Q251" s="7">
        <v>1106</v>
      </c>
      <c r="R251" s="7"/>
      <c r="S251" s="3"/>
      <c r="T251" s="3"/>
      <c r="V251"/>
      <c r="W251"/>
      <c r="X251"/>
      <c r="Y251" s="89"/>
    </row>
    <row r="252" spans="1:25" hidden="1" x14ac:dyDescent="0.35">
      <c r="A252" s="3" t="str">
        <f t="shared" si="3"/>
        <v>Sto_WS_HS</v>
      </c>
      <c r="B252" s="3">
        <v>3</v>
      </c>
      <c r="C252" s="3">
        <v>2</v>
      </c>
      <c r="D252" s="3" t="s">
        <v>117</v>
      </c>
      <c r="E252" s="3">
        <v>1107</v>
      </c>
      <c r="F252" s="3" t="s">
        <v>184</v>
      </c>
      <c r="G252" s="3" t="s">
        <v>121</v>
      </c>
      <c r="H252" s="3" t="s">
        <v>39</v>
      </c>
      <c r="I252" s="3" t="s">
        <v>21</v>
      </c>
      <c r="J252" s="3" t="s">
        <v>28</v>
      </c>
      <c r="K252" s="3" t="s">
        <v>27</v>
      </c>
      <c r="L252" s="3">
        <v>2</v>
      </c>
      <c r="M252" s="3">
        <v>4</v>
      </c>
      <c r="N252" s="4">
        <v>44483</v>
      </c>
      <c r="O252" s="54">
        <v>0.39583333333333331</v>
      </c>
      <c r="P252" s="5" t="b">
        <v>0</v>
      </c>
      <c r="Q252" s="7">
        <f>E252</f>
        <v>1107</v>
      </c>
      <c r="R252" s="7"/>
      <c r="S252" s="3" t="s">
        <v>185</v>
      </c>
      <c r="T252" s="3" t="s">
        <v>228</v>
      </c>
      <c r="V252"/>
      <c r="W252"/>
      <c r="X252"/>
      <c r="Y252" s="89"/>
    </row>
    <row r="253" spans="1:25" hidden="1" x14ac:dyDescent="0.35">
      <c r="A253" s="3" t="str">
        <f t="shared" si="3"/>
        <v>Sto_WS_HS</v>
      </c>
      <c r="B253" s="3">
        <v>3</v>
      </c>
      <c r="C253" s="3">
        <v>2</v>
      </c>
      <c r="D253" s="3" t="s">
        <v>117</v>
      </c>
      <c r="E253" s="3">
        <v>1107</v>
      </c>
      <c r="F253" s="3" t="s">
        <v>184</v>
      </c>
      <c r="G253" s="3" t="s">
        <v>121</v>
      </c>
      <c r="H253" s="3" t="s">
        <v>39</v>
      </c>
      <c r="I253" s="3" t="s">
        <v>21</v>
      </c>
      <c r="J253" s="3" t="s">
        <v>28</v>
      </c>
      <c r="K253" s="3" t="s">
        <v>27</v>
      </c>
      <c r="L253" s="3">
        <v>2</v>
      </c>
      <c r="M253" s="3">
        <v>4</v>
      </c>
      <c r="N253" s="4">
        <v>44483</v>
      </c>
      <c r="O253" s="54">
        <v>0.39583333333333331</v>
      </c>
      <c r="P253" s="5" t="b">
        <v>1</v>
      </c>
      <c r="Q253" s="7">
        <v>1108</v>
      </c>
      <c r="R253" s="7"/>
      <c r="S253" s="3" t="s">
        <v>186</v>
      </c>
      <c r="T253" s="3" t="s">
        <v>229</v>
      </c>
      <c r="V253"/>
      <c r="W253"/>
      <c r="X253"/>
      <c r="Y253" s="89"/>
    </row>
    <row r="254" spans="1:25" hidden="1" x14ac:dyDescent="0.35">
      <c r="A254" s="3" t="str">
        <f t="shared" si="3"/>
        <v>Wen_WW_HS</v>
      </c>
      <c r="B254" s="3">
        <v>19</v>
      </c>
      <c r="C254" s="3">
        <v>3</v>
      </c>
      <c r="D254" s="3" t="s">
        <v>117</v>
      </c>
      <c r="E254" s="34">
        <v>1097</v>
      </c>
      <c r="F254" s="3" t="s">
        <v>179</v>
      </c>
      <c r="G254" s="34" t="s">
        <v>121</v>
      </c>
      <c r="H254" s="34" t="s">
        <v>20</v>
      </c>
      <c r="I254" s="34" t="s">
        <v>25</v>
      </c>
      <c r="J254" s="34" t="s">
        <v>22</v>
      </c>
      <c r="K254" s="34" t="s">
        <v>23</v>
      </c>
      <c r="L254" s="34">
        <v>2</v>
      </c>
      <c r="M254" s="34">
        <v>6</v>
      </c>
      <c r="N254" s="35">
        <v>44483</v>
      </c>
      <c r="O254" s="87">
        <v>0.39583333333333331</v>
      </c>
      <c r="P254" s="32" t="b">
        <v>0</v>
      </c>
      <c r="Q254" s="36">
        <f>E254</f>
        <v>1097</v>
      </c>
      <c r="R254" s="36"/>
      <c r="S254" s="34"/>
      <c r="T254" s="39"/>
      <c r="U254" s="86"/>
      <c r="V254" s="89"/>
      <c r="W254" s="89" t="s">
        <v>302</v>
      </c>
      <c r="X254" s="89"/>
      <c r="Y254" s="89"/>
    </row>
    <row r="255" spans="1:25" hidden="1" x14ac:dyDescent="0.35">
      <c r="A255" s="3" t="str">
        <f t="shared" si="3"/>
        <v>Sto_WW_HS</v>
      </c>
      <c r="B255" s="3">
        <v>4</v>
      </c>
      <c r="C255" s="3">
        <v>2</v>
      </c>
      <c r="D255" s="3" t="s">
        <v>117</v>
      </c>
      <c r="E255" s="3">
        <v>1109</v>
      </c>
      <c r="F255" s="3" t="s">
        <v>187</v>
      </c>
      <c r="G255" s="3" t="s">
        <v>121</v>
      </c>
      <c r="H255" s="3" t="s">
        <v>20</v>
      </c>
      <c r="I255" s="3" t="s">
        <v>21</v>
      </c>
      <c r="J255" s="3" t="s">
        <v>35</v>
      </c>
      <c r="K255" s="3" t="s">
        <v>23</v>
      </c>
      <c r="L255" s="3">
        <v>2</v>
      </c>
      <c r="M255" s="3">
        <v>7</v>
      </c>
      <c r="N255" s="4">
        <v>44483</v>
      </c>
      <c r="O255" s="54">
        <v>0.39583333333333331</v>
      </c>
      <c r="P255" s="5" t="b">
        <v>1</v>
      </c>
      <c r="Q255" s="7">
        <v>1110</v>
      </c>
      <c r="R255" s="7"/>
      <c r="S255" s="3"/>
      <c r="T255" s="3"/>
      <c r="V255"/>
      <c r="W255"/>
      <c r="X255"/>
      <c r="Y255" s="89"/>
    </row>
    <row r="256" spans="1:25" hidden="1" x14ac:dyDescent="0.35">
      <c r="A256" s="3" t="str">
        <f t="shared" si="3"/>
        <v>Wen_WS_HS</v>
      </c>
      <c r="B256" s="3">
        <v>20</v>
      </c>
      <c r="C256" s="3">
        <v>3</v>
      </c>
      <c r="D256" s="3" t="s">
        <v>117</v>
      </c>
      <c r="E256" s="34">
        <v>1099</v>
      </c>
      <c r="F256" s="3" t="s">
        <v>180</v>
      </c>
      <c r="G256" s="34" t="s">
        <v>121</v>
      </c>
      <c r="H256" s="34" t="s">
        <v>39</v>
      </c>
      <c r="I256" s="34" t="s">
        <v>25</v>
      </c>
      <c r="J256" s="34" t="s">
        <v>22</v>
      </c>
      <c r="K256" s="34" t="s">
        <v>23</v>
      </c>
      <c r="L256" s="34">
        <v>2</v>
      </c>
      <c r="M256" s="34">
        <v>6</v>
      </c>
      <c r="N256" s="35">
        <v>44482</v>
      </c>
      <c r="O256" s="87">
        <v>0.34375</v>
      </c>
      <c r="P256" s="32" t="b">
        <v>0</v>
      </c>
      <c r="Q256" s="36">
        <f>E256</f>
        <v>1099</v>
      </c>
      <c r="R256" s="36"/>
      <c r="S256" s="34"/>
      <c r="T256" s="39"/>
      <c r="U256" s="86"/>
      <c r="V256" s="89"/>
      <c r="W256" s="89" t="s">
        <v>302</v>
      </c>
      <c r="X256" s="89"/>
      <c r="Y256" s="89"/>
    </row>
    <row r="257" spans="1:25" hidden="1" x14ac:dyDescent="0.35">
      <c r="A257" s="3" t="str">
        <f t="shared" si="3"/>
        <v>Wen_WW_HS</v>
      </c>
      <c r="B257" s="3">
        <v>5</v>
      </c>
      <c r="C257" s="3">
        <v>2</v>
      </c>
      <c r="D257" s="3" t="s">
        <v>117</v>
      </c>
      <c r="E257" s="3">
        <v>1111</v>
      </c>
      <c r="F257" s="3" t="s">
        <v>188</v>
      </c>
      <c r="G257" s="3" t="s">
        <v>121</v>
      </c>
      <c r="H257" s="3" t="s">
        <v>20</v>
      </c>
      <c r="I257" s="3" t="s">
        <v>25</v>
      </c>
      <c r="J257" s="3" t="s">
        <v>35</v>
      </c>
      <c r="K257" s="3" t="s">
        <v>23</v>
      </c>
      <c r="L257" s="3">
        <v>2</v>
      </c>
      <c r="M257" s="3">
        <v>7</v>
      </c>
      <c r="N257" s="4">
        <v>44483</v>
      </c>
      <c r="O257" s="54">
        <v>0.39583333333333331</v>
      </c>
      <c r="P257" s="5" t="b">
        <v>1</v>
      </c>
      <c r="Q257" s="7">
        <v>1112</v>
      </c>
      <c r="R257" s="7"/>
      <c r="S257" s="3"/>
      <c r="T257" s="3"/>
      <c r="V257"/>
      <c r="W257"/>
      <c r="X257"/>
      <c r="Y257" s="89"/>
    </row>
    <row r="258" spans="1:25" x14ac:dyDescent="0.35">
      <c r="A258" s="3" t="str">
        <f t="shared" ref="A258:A290" si="4">LEFT(I258,3)&amp;"_"&amp;H258&amp;"_"&amp;G258</f>
        <v>Wen_WS_HS</v>
      </c>
      <c r="B258" s="3">
        <v>6</v>
      </c>
      <c r="C258" s="3">
        <v>2</v>
      </c>
      <c r="D258" s="3" t="s">
        <v>117</v>
      </c>
      <c r="E258" s="3">
        <v>1113</v>
      </c>
      <c r="F258" s="3" t="s">
        <v>189</v>
      </c>
      <c r="G258" s="34" t="s">
        <v>121</v>
      </c>
      <c r="H258" s="34" t="s">
        <v>39</v>
      </c>
      <c r="I258" s="34" t="s">
        <v>25</v>
      </c>
      <c r="J258" s="34" t="s">
        <v>26</v>
      </c>
      <c r="K258" s="34" t="s">
        <v>27</v>
      </c>
      <c r="L258" s="34">
        <v>2</v>
      </c>
      <c r="M258" s="3">
        <v>4</v>
      </c>
      <c r="N258" s="35">
        <v>44482</v>
      </c>
      <c r="O258" s="4"/>
      <c r="P258" s="5" t="b">
        <v>0</v>
      </c>
      <c r="Q258" s="36">
        <f>E258</f>
        <v>1113</v>
      </c>
      <c r="R258" s="36">
        <v>1</v>
      </c>
      <c r="S258" s="3"/>
      <c r="T258" s="39"/>
      <c r="V258"/>
      <c r="W258"/>
      <c r="X258"/>
      <c r="Y258" s="89"/>
    </row>
    <row r="259" spans="1:25" hidden="1" x14ac:dyDescent="0.35">
      <c r="A259" s="3" t="str">
        <f t="shared" si="4"/>
        <v>Wen_WS_HS</v>
      </c>
      <c r="B259" s="3">
        <v>6</v>
      </c>
      <c r="C259" s="3">
        <v>2</v>
      </c>
      <c r="D259" s="3" t="s">
        <v>117</v>
      </c>
      <c r="E259" s="3">
        <v>1113</v>
      </c>
      <c r="F259" s="3" t="s">
        <v>189</v>
      </c>
      <c r="G259" s="3" t="s">
        <v>121</v>
      </c>
      <c r="H259" s="3" t="s">
        <v>39</v>
      </c>
      <c r="I259" s="3" t="s">
        <v>25</v>
      </c>
      <c r="J259" s="3" t="s">
        <v>28</v>
      </c>
      <c r="K259" s="3" t="s">
        <v>27</v>
      </c>
      <c r="L259" s="3">
        <v>2</v>
      </c>
      <c r="M259" s="3">
        <v>4</v>
      </c>
      <c r="N259" s="4">
        <v>44482</v>
      </c>
      <c r="O259" s="4"/>
      <c r="P259" s="5" t="b">
        <v>1</v>
      </c>
      <c r="Q259" s="7">
        <v>1114</v>
      </c>
      <c r="R259" s="7"/>
      <c r="S259" s="3"/>
      <c r="T259" s="3"/>
      <c r="V259"/>
      <c r="W259"/>
      <c r="X259"/>
      <c r="Y259" s="89"/>
    </row>
    <row r="260" spans="1:25" hidden="1" x14ac:dyDescent="0.35">
      <c r="A260" s="3" t="str">
        <f t="shared" si="4"/>
        <v>Wen_WS_HS</v>
      </c>
      <c r="B260" s="3">
        <v>1</v>
      </c>
      <c r="C260" s="3">
        <v>2</v>
      </c>
      <c r="D260" s="3" t="s">
        <v>117</v>
      </c>
      <c r="E260" s="34">
        <v>1103</v>
      </c>
      <c r="F260" s="3" t="s">
        <v>182</v>
      </c>
      <c r="G260" s="34" t="s">
        <v>121</v>
      </c>
      <c r="H260" s="34" t="s">
        <v>39</v>
      </c>
      <c r="I260" s="34" t="s">
        <v>25</v>
      </c>
      <c r="J260" s="34" t="s">
        <v>22</v>
      </c>
      <c r="K260" s="34" t="s">
        <v>23</v>
      </c>
      <c r="L260" s="34">
        <v>2</v>
      </c>
      <c r="M260" s="34">
        <v>7</v>
      </c>
      <c r="N260" s="35">
        <v>44483</v>
      </c>
      <c r="O260" s="87">
        <v>0.39583333333333331</v>
      </c>
      <c r="P260" s="32" t="b">
        <v>0</v>
      </c>
      <c r="Q260" s="36">
        <f>E260</f>
        <v>1103</v>
      </c>
      <c r="R260" s="36"/>
      <c r="S260" s="34"/>
      <c r="T260" s="39"/>
      <c r="U260" s="86"/>
      <c r="V260" s="89"/>
      <c r="W260" s="89" t="s">
        <v>302</v>
      </c>
      <c r="X260" s="89"/>
      <c r="Y260" s="89"/>
    </row>
    <row r="261" spans="1:25" ht="29" hidden="1" x14ac:dyDescent="0.35">
      <c r="A261" s="3" t="str">
        <f t="shared" si="4"/>
        <v>Wen_WS_HS</v>
      </c>
      <c r="B261" s="3">
        <v>7</v>
      </c>
      <c r="C261" s="3">
        <v>2</v>
      </c>
      <c r="D261" s="3" t="s">
        <v>117</v>
      </c>
      <c r="E261" s="34">
        <v>1115</v>
      </c>
      <c r="F261" s="3" t="s">
        <v>190</v>
      </c>
      <c r="G261" s="94" t="s">
        <v>121</v>
      </c>
      <c r="H261" s="94" t="s">
        <v>39</v>
      </c>
      <c r="I261" s="94" t="s">
        <v>25</v>
      </c>
      <c r="J261" s="94"/>
      <c r="K261" s="94"/>
      <c r="L261" s="94"/>
      <c r="M261" s="34"/>
      <c r="N261" s="95"/>
      <c r="O261" s="87">
        <v>0.5</v>
      </c>
      <c r="P261" s="32" t="b">
        <v>1</v>
      </c>
      <c r="Q261" s="96">
        <v>1116</v>
      </c>
      <c r="R261" s="96"/>
      <c r="S261" s="34"/>
      <c r="T261" s="97" t="s">
        <v>224</v>
      </c>
      <c r="U261" s="86"/>
      <c r="V261" s="89"/>
      <c r="W261" s="89"/>
      <c r="X261" s="89"/>
      <c r="Y261" s="89" t="s">
        <v>302</v>
      </c>
    </row>
    <row r="262" spans="1:25" x14ac:dyDescent="0.35">
      <c r="A262" s="3" t="str">
        <f t="shared" si="4"/>
        <v>Wen_WW_HS</v>
      </c>
      <c r="B262" s="3">
        <v>8</v>
      </c>
      <c r="C262" s="3">
        <v>2</v>
      </c>
      <c r="D262" s="3" t="s">
        <v>117</v>
      </c>
      <c r="E262" s="3">
        <v>1117</v>
      </c>
      <c r="F262" s="3" t="s">
        <v>191</v>
      </c>
      <c r="G262" s="34" t="s">
        <v>121</v>
      </c>
      <c r="H262" s="34" t="s">
        <v>20</v>
      </c>
      <c r="I262" s="34" t="s">
        <v>25</v>
      </c>
      <c r="J262" s="34" t="s">
        <v>26</v>
      </c>
      <c r="K262" s="34" t="s">
        <v>27</v>
      </c>
      <c r="L262" s="34">
        <v>2</v>
      </c>
      <c r="M262" s="3">
        <v>4</v>
      </c>
      <c r="N262" s="35">
        <v>44482</v>
      </c>
      <c r="O262" s="4"/>
      <c r="P262" s="5" t="b">
        <v>0</v>
      </c>
      <c r="Q262" s="36">
        <f>E262</f>
        <v>1117</v>
      </c>
      <c r="R262" s="36">
        <v>1</v>
      </c>
      <c r="S262" s="3"/>
      <c r="T262" s="39"/>
      <c r="V262"/>
      <c r="W262"/>
      <c r="X262"/>
      <c r="Y262" s="89"/>
    </row>
    <row r="263" spans="1:25" hidden="1" x14ac:dyDescent="0.35">
      <c r="A263" s="3" t="str">
        <f t="shared" si="4"/>
        <v>Wen_WW_HS</v>
      </c>
      <c r="B263" s="3">
        <v>8</v>
      </c>
      <c r="C263" s="3">
        <v>2</v>
      </c>
      <c r="D263" s="3" t="s">
        <v>117</v>
      </c>
      <c r="E263" s="3">
        <v>1117</v>
      </c>
      <c r="F263" s="3" t="s">
        <v>191</v>
      </c>
      <c r="G263" s="3" t="s">
        <v>121</v>
      </c>
      <c r="H263" s="3" t="s">
        <v>20</v>
      </c>
      <c r="I263" s="3" t="s">
        <v>25</v>
      </c>
      <c r="J263" s="3" t="s">
        <v>28</v>
      </c>
      <c r="K263" s="3" t="s">
        <v>27</v>
      </c>
      <c r="L263" s="3">
        <v>2</v>
      </c>
      <c r="M263" s="3">
        <v>4</v>
      </c>
      <c r="N263" s="4">
        <v>44482</v>
      </c>
      <c r="O263" s="4"/>
      <c r="P263" s="5" t="b">
        <v>1</v>
      </c>
      <c r="Q263" s="7">
        <v>1118</v>
      </c>
      <c r="R263" s="7"/>
      <c r="S263" s="3"/>
      <c r="T263" s="3" t="s">
        <v>226</v>
      </c>
      <c r="V263"/>
      <c r="W263"/>
      <c r="X263"/>
      <c r="Y263" s="89"/>
    </row>
    <row r="264" spans="1:25" hidden="1" x14ac:dyDescent="0.35">
      <c r="A264" s="3" t="str">
        <f t="shared" si="4"/>
        <v>Sto_WS_HS</v>
      </c>
      <c r="B264" s="3">
        <v>2</v>
      </c>
      <c r="C264" s="3">
        <v>2</v>
      </c>
      <c r="D264" s="3" t="s">
        <v>117</v>
      </c>
      <c r="E264" s="34">
        <v>1105</v>
      </c>
      <c r="F264" s="3" t="s">
        <v>183</v>
      </c>
      <c r="G264" s="34" t="s">
        <v>121</v>
      </c>
      <c r="H264" s="34" t="s">
        <v>39</v>
      </c>
      <c r="I264" s="34" t="s">
        <v>21</v>
      </c>
      <c r="J264" s="34" t="s">
        <v>22</v>
      </c>
      <c r="K264" s="34" t="s">
        <v>23</v>
      </c>
      <c r="L264" s="34">
        <v>2</v>
      </c>
      <c r="M264" s="34">
        <v>7</v>
      </c>
      <c r="N264" s="35">
        <v>44483</v>
      </c>
      <c r="O264" s="87">
        <v>0.39583333333333331</v>
      </c>
      <c r="P264" s="32" t="b">
        <v>0</v>
      </c>
      <c r="Q264" s="36">
        <f>E264</f>
        <v>1105</v>
      </c>
      <c r="R264" s="36"/>
      <c r="S264" s="34"/>
      <c r="T264" s="39"/>
      <c r="U264" s="86"/>
      <c r="V264" s="89"/>
      <c r="W264" s="89" t="s">
        <v>302</v>
      </c>
      <c r="X264" s="89"/>
      <c r="Y264" s="89"/>
    </row>
    <row r="265" spans="1:25" hidden="1" x14ac:dyDescent="0.35">
      <c r="A265" s="3" t="str">
        <f t="shared" si="4"/>
        <v>Sto_WS_HS</v>
      </c>
      <c r="B265" s="3">
        <v>9</v>
      </c>
      <c r="C265" s="3">
        <v>2</v>
      </c>
      <c r="D265" s="3" t="s">
        <v>117</v>
      </c>
      <c r="E265" s="3">
        <v>1119</v>
      </c>
      <c r="F265" s="3" t="s">
        <v>192</v>
      </c>
      <c r="G265" s="3" t="s">
        <v>121</v>
      </c>
      <c r="H265" s="3" t="s">
        <v>39</v>
      </c>
      <c r="I265" s="3" t="s">
        <v>21</v>
      </c>
      <c r="J265" s="3" t="s">
        <v>35</v>
      </c>
      <c r="K265" s="3" t="s">
        <v>23</v>
      </c>
      <c r="L265" s="3">
        <v>2</v>
      </c>
      <c r="M265" s="3">
        <v>8</v>
      </c>
      <c r="N265" s="4">
        <v>44483</v>
      </c>
      <c r="O265" s="54">
        <v>0.5</v>
      </c>
      <c r="P265" s="5" t="b">
        <v>1</v>
      </c>
      <c r="Q265" s="7">
        <v>1120</v>
      </c>
      <c r="R265" s="7"/>
      <c r="S265" s="3"/>
      <c r="T265" s="3"/>
      <c r="V265"/>
      <c r="W265"/>
      <c r="X265"/>
      <c r="Y265" s="89"/>
    </row>
    <row r="266" spans="1:25" hidden="1" x14ac:dyDescent="0.35">
      <c r="A266" s="3" t="str">
        <f t="shared" si="4"/>
        <v>Sto_WW_HS</v>
      </c>
      <c r="B266" s="3">
        <v>10</v>
      </c>
      <c r="C266" s="3">
        <v>2</v>
      </c>
      <c r="D266" s="3" t="s">
        <v>117</v>
      </c>
      <c r="E266" s="3">
        <v>1121</v>
      </c>
      <c r="F266" s="3" t="s">
        <v>193</v>
      </c>
      <c r="G266" s="3" t="s">
        <v>121</v>
      </c>
      <c r="H266" s="3" t="s">
        <v>20</v>
      </c>
      <c r="I266" s="3" t="s">
        <v>21</v>
      </c>
      <c r="J266" s="3" t="s">
        <v>35</v>
      </c>
      <c r="K266" s="3" t="s">
        <v>27</v>
      </c>
      <c r="L266" s="3"/>
      <c r="M266" s="3">
        <v>4</v>
      </c>
      <c r="N266" s="4">
        <v>44483</v>
      </c>
      <c r="O266" s="54">
        <v>0.78472222222222221</v>
      </c>
      <c r="P266" s="5" t="b">
        <v>0</v>
      </c>
      <c r="Q266" s="7">
        <f>E266</f>
        <v>1121</v>
      </c>
      <c r="R266" s="7"/>
      <c r="S266" s="3" t="s">
        <v>194</v>
      </c>
      <c r="T266" s="50" t="s">
        <v>274</v>
      </c>
      <c r="V266"/>
      <c r="W266"/>
      <c r="X266"/>
      <c r="Y266" s="89"/>
    </row>
    <row r="267" spans="1:25" hidden="1" x14ac:dyDescent="0.35">
      <c r="A267" s="3" t="str">
        <f t="shared" si="4"/>
        <v>Sto_WW_HS</v>
      </c>
      <c r="B267" s="3">
        <v>10</v>
      </c>
      <c r="C267" s="3">
        <v>2</v>
      </c>
      <c r="D267" s="3" t="s">
        <v>117</v>
      </c>
      <c r="E267" s="3">
        <v>1121</v>
      </c>
      <c r="F267" s="3" t="s">
        <v>193</v>
      </c>
      <c r="G267" s="3" t="s">
        <v>121</v>
      </c>
      <c r="H267" s="3" t="s">
        <v>20</v>
      </c>
      <c r="I267" s="3" t="s">
        <v>21</v>
      </c>
      <c r="J267" s="3" t="s">
        <v>28</v>
      </c>
      <c r="K267" s="3" t="s">
        <v>27</v>
      </c>
      <c r="L267" s="3"/>
      <c r="M267" s="3">
        <v>4</v>
      </c>
      <c r="N267" s="4"/>
      <c r="O267" s="4"/>
      <c r="P267" s="5" t="b">
        <v>1</v>
      </c>
      <c r="Q267" s="7">
        <v>1122</v>
      </c>
      <c r="R267" s="7"/>
      <c r="S267" s="3" t="s">
        <v>195</v>
      </c>
      <c r="T267" s="3" t="s">
        <v>230</v>
      </c>
      <c r="V267"/>
      <c r="W267"/>
      <c r="X267"/>
      <c r="Y267" s="89"/>
    </row>
    <row r="268" spans="1:25" x14ac:dyDescent="0.35">
      <c r="A268" s="3" t="str">
        <f t="shared" si="4"/>
        <v>Wen_WS_HS</v>
      </c>
      <c r="B268" s="3">
        <v>11</v>
      </c>
      <c r="C268" s="3">
        <v>2</v>
      </c>
      <c r="D268" s="3" t="s">
        <v>117</v>
      </c>
      <c r="E268" s="3">
        <v>1123</v>
      </c>
      <c r="F268" s="3" t="s">
        <v>196</v>
      </c>
      <c r="G268" s="34" t="s">
        <v>121</v>
      </c>
      <c r="H268" s="34" t="s">
        <v>39</v>
      </c>
      <c r="I268" s="34" t="s">
        <v>25</v>
      </c>
      <c r="J268" s="34" t="s">
        <v>26</v>
      </c>
      <c r="K268" s="34" t="s">
        <v>27</v>
      </c>
      <c r="L268" s="34">
        <v>2</v>
      </c>
      <c r="M268" s="3">
        <v>5</v>
      </c>
      <c r="N268" s="35">
        <v>44482</v>
      </c>
      <c r="O268" s="4"/>
      <c r="P268" s="5" t="b">
        <v>0</v>
      </c>
      <c r="Q268" s="36">
        <f>E268</f>
        <v>1123</v>
      </c>
      <c r="R268" s="36">
        <v>1</v>
      </c>
      <c r="S268" s="3"/>
      <c r="T268" s="39"/>
      <c r="V268"/>
      <c r="W268"/>
      <c r="X268"/>
      <c r="Y268" s="89"/>
    </row>
    <row r="269" spans="1:25" hidden="1" x14ac:dyDescent="0.35">
      <c r="A269" s="3" t="str">
        <f t="shared" si="4"/>
        <v>Wen_WS_HS</v>
      </c>
      <c r="B269" s="3">
        <v>11</v>
      </c>
      <c r="C269" s="3">
        <v>2</v>
      </c>
      <c r="D269" s="3" t="s">
        <v>117</v>
      </c>
      <c r="E269" s="3">
        <v>1123</v>
      </c>
      <c r="F269" s="3" t="s">
        <v>196</v>
      </c>
      <c r="G269" s="3" t="s">
        <v>121</v>
      </c>
      <c r="H269" s="3" t="s">
        <v>39</v>
      </c>
      <c r="I269" s="3" t="s">
        <v>25</v>
      </c>
      <c r="J269" s="3" t="s">
        <v>28</v>
      </c>
      <c r="K269" s="3" t="s">
        <v>27</v>
      </c>
      <c r="L269" s="3">
        <v>2</v>
      </c>
      <c r="M269" s="3">
        <v>5</v>
      </c>
      <c r="N269" s="4">
        <v>44482</v>
      </c>
      <c r="O269" s="4"/>
      <c r="P269" s="5" t="b">
        <v>1</v>
      </c>
      <c r="Q269" s="7">
        <v>1124</v>
      </c>
      <c r="R269" s="7"/>
      <c r="S269" s="3"/>
      <c r="T269" s="3" t="s">
        <v>225</v>
      </c>
      <c r="V269"/>
      <c r="W269"/>
      <c r="X269"/>
      <c r="Y269" s="89"/>
    </row>
    <row r="270" spans="1:25" x14ac:dyDescent="0.35">
      <c r="A270" s="3" t="str">
        <f t="shared" si="4"/>
        <v>Wen_WW_HS</v>
      </c>
      <c r="B270" s="3">
        <v>12</v>
      </c>
      <c r="C270" s="3">
        <v>2</v>
      </c>
      <c r="D270" s="3" t="s">
        <v>117</v>
      </c>
      <c r="E270" s="3">
        <v>1125</v>
      </c>
      <c r="F270" s="3" t="s">
        <v>197</v>
      </c>
      <c r="G270" s="34" t="s">
        <v>121</v>
      </c>
      <c r="H270" s="34" t="s">
        <v>20</v>
      </c>
      <c r="I270" s="34" t="s">
        <v>25</v>
      </c>
      <c r="J270" s="34" t="s">
        <v>26</v>
      </c>
      <c r="K270" s="34" t="s">
        <v>27</v>
      </c>
      <c r="L270" s="34">
        <v>2</v>
      </c>
      <c r="M270" s="3">
        <v>5</v>
      </c>
      <c r="N270" s="35">
        <v>44483</v>
      </c>
      <c r="O270" s="4"/>
      <c r="P270" s="5" t="b">
        <v>0</v>
      </c>
      <c r="Q270" s="36">
        <f>E270</f>
        <v>1125</v>
      </c>
      <c r="R270" s="36">
        <v>1</v>
      </c>
      <c r="S270" s="3"/>
      <c r="T270" s="39"/>
      <c r="V270"/>
      <c r="W270"/>
      <c r="X270"/>
      <c r="Y270" s="89"/>
    </row>
    <row r="271" spans="1:25" hidden="1" x14ac:dyDescent="0.35">
      <c r="A271" s="3" t="str">
        <f t="shared" si="4"/>
        <v>Wen_WW_HS</v>
      </c>
      <c r="B271" s="3">
        <v>12</v>
      </c>
      <c r="C271" s="3">
        <v>2</v>
      </c>
      <c r="D271" s="3" t="s">
        <v>117</v>
      </c>
      <c r="E271" s="3">
        <v>1125</v>
      </c>
      <c r="F271" s="3" t="s">
        <v>197</v>
      </c>
      <c r="G271" s="3" t="s">
        <v>121</v>
      </c>
      <c r="H271" s="3" t="s">
        <v>20</v>
      </c>
      <c r="I271" s="3" t="s">
        <v>25</v>
      </c>
      <c r="J271" s="3" t="s">
        <v>28</v>
      </c>
      <c r="K271" s="3" t="s">
        <v>27</v>
      </c>
      <c r="L271" s="3">
        <v>2</v>
      </c>
      <c r="M271" s="3">
        <v>5</v>
      </c>
      <c r="N271" s="4">
        <v>44483</v>
      </c>
      <c r="O271" s="4"/>
      <c r="P271" s="5" t="b">
        <v>1</v>
      </c>
      <c r="Q271" s="7">
        <v>1126</v>
      </c>
      <c r="R271" s="7"/>
      <c r="S271" s="3"/>
      <c r="T271" s="3"/>
      <c r="V271"/>
      <c r="W271"/>
      <c r="X271"/>
      <c r="Y271" s="89"/>
    </row>
    <row r="272" spans="1:25" hidden="1" x14ac:dyDescent="0.35">
      <c r="A272" s="3" t="str">
        <f t="shared" si="4"/>
        <v>Sto_WW_HS</v>
      </c>
      <c r="B272" s="3">
        <v>4</v>
      </c>
      <c r="C272" s="3">
        <v>2</v>
      </c>
      <c r="D272" s="3" t="s">
        <v>117</v>
      </c>
      <c r="E272" s="34">
        <v>1109</v>
      </c>
      <c r="F272" s="3" t="s">
        <v>187</v>
      </c>
      <c r="G272" s="34" t="s">
        <v>121</v>
      </c>
      <c r="H272" s="34" t="s">
        <v>20</v>
      </c>
      <c r="I272" s="34" t="s">
        <v>21</v>
      </c>
      <c r="J272" s="34" t="s">
        <v>22</v>
      </c>
      <c r="K272" s="34" t="s">
        <v>23</v>
      </c>
      <c r="L272" s="34">
        <v>2</v>
      </c>
      <c r="M272" s="34">
        <v>7</v>
      </c>
      <c r="N272" s="35">
        <v>44483</v>
      </c>
      <c r="O272" s="87">
        <v>0.39583333333333331</v>
      </c>
      <c r="P272" s="32" t="b">
        <v>0</v>
      </c>
      <c r="Q272" s="36">
        <f>E272</f>
        <v>1109</v>
      </c>
      <c r="R272" s="36"/>
      <c r="S272" s="34"/>
      <c r="T272" s="39"/>
      <c r="U272" s="86"/>
      <c r="V272" s="89"/>
      <c r="W272" s="89" t="s">
        <v>302</v>
      </c>
      <c r="X272" s="89"/>
      <c r="Y272" s="89"/>
    </row>
    <row r="273" spans="1:25" hidden="1" x14ac:dyDescent="0.35">
      <c r="A273" s="3" t="str">
        <f t="shared" si="4"/>
        <v>Sto_WW_HS</v>
      </c>
      <c r="B273" s="3">
        <v>13</v>
      </c>
      <c r="C273" s="3">
        <v>2</v>
      </c>
      <c r="D273" s="3" t="s">
        <v>117</v>
      </c>
      <c r="E273" s="3">
        <v>1127</v>
      </c>
      <c r="F273" s="3" t="s">
        <v>198</v>
      </c>
      <c r="G273" s="3" t="s">
        <v>121</v>
      </c>
      <c r="H273" s="3" t="s">
        <v>20</v>
      </c>
      <c r="I273" s="3" t="s">
        <v>21</v>
      </c>
      <c r="J273" s="3" t="s">
        <v>35</v>
      </c>
      <c r="K273" s="3" t="s">
        <v>23</v>
      </c>
      <c r="L273" s="3">
        <v>2</v>
      </c>
      <c r="M273" s="3">
        <v>8</v>
      </c>
      <c r="N273" s="4">
        <v>44483</v>
      </c>
      <c r="O273" s="54">
        <v>0.5</v>
      </c>
      <c r="P273" s="5" t="b">
        <v>1</v>
      </c>
      <c r="Q273" s="7">
        <v>1128</v>
      </c>
      <c r="R273" s="7"/>
      <c r="S273" s="3"/>
      <c r="T273" s="3"/>
      <c r="V273"/>
      <c r="W273"/>
      <c r="X273"/>
      <c r="Y273" s="89"/>
    </row>
    <row r="274" spans="1:25" x14ac:dyDescent="0.35">
      <c r="A274" s="3" t="str">
        <f t="shared" si="4"/>
        <v>Sto_WS_HS</v>
      </c>
      <c r="B274" s="3">
        <v>14</v>
      </c>
      <c r="C274" s="3">
        <v>2</v>
      </c>
      <c r="D274" s="3" t="s">
        <v>117</v>
      </c>
      <c r="E274" s="3">
        <v>1129</v>
      </c>
      <c r="F274" s="3" t="s">
        <v>199</v>
      </c>
      <c r="G274" s="34" t="s">
        <v>121</v>
      </c>
      <c r="H274" s="34" t="s">
        <v>39</v>
      </c>
      <c r="I274" s="34" t="s">
        <v>21</v>
      </c>
      <c r="J274" s="34" t="s">
        <v>26</v>
      </c>
      <c r="K274" s="34" t="s">
        <v>27</v>
      </c>
      <c r="L274" s="34">
        <v>2</v>
      </c>
      <c r="M274" s="3">
        <v>5</v>
      </c>
      <c r="N274" s="35">
        <v>44483</v>
      </c>
      <c r="O274" s="4"/>
      <c r="P274" s="5" t="b">
        <v>0</v>
      </c>
      <c r="Q274" s="36">
        <f>E274</f>
        <v>1129</v>
      </c>
      <c r="R274" s="36">
        <v>1</v>
      </c>
      <c r="S274" s="3"/>
      <c r="T274" s="39"/>
      <c r="V274"/>
      <c r="W274"/>
      <c r="X274"/>
      <c r="Y274" s="89"/>
    </row>
    <row r="275" spans="1:25" hidden="1" x14ac:dyDescent="0.35">
      <c r="A275" s="3" t="str">
        <f t="shared" si="4"/>
        <v>Sto_WS_HS</v>
      </c>
      <c r="B275" s="3">
        <v>14</v>
      </c>
      <c r="C275" s="3">
        <v>2</v>
      </c>
      <c r="D275" s="3" t="s">
        <v>117</v>
      </c>
      <c r="E275" s="3">
        <v>1129</v>
      </c>
      <c r="F275" s="3" t="s">
        <v>199</v>
      </c>
      <c r="G275" s="3" t="s">
        <v>121</v>
      </c>
      <c r="H275" s="3" t="s">
        <v>39</v>
      </c>
      <c r="I275" s="3" t="s">
        <v>21</v>
      </c>
      <c r="J275" s="3" t="s">
        <v>28</v>
      </c>
      <c r="K275" s="3" t="s">
        <v>27</v>
      </c>
      <c r="L275" s="3">
        <v>2</v>
      </c>
      <c r="M275" s="3">
        <v>5</v>
      </c>
      <c r="N275" s="4">
        <v>44483</v>
      </c>
      <c r="O275" s="4"/>
      <c r="P275" s="5" t="b">
        <v>1</v>
      </c>
      <c r="Q275" s="7">
        <v>1130</v>
      </c>
      <c r="R275" s="7"/>
      <c r="S275" s="3"/>
      <c r="T275" s="3"/>
      <c r="V275"/>
      <c r="W275"/>
      <c r="X275"/>
      <c r="Y275" s="89"/>
    </row>
    <row r="276" spans="1:25" hidden="1" x14ac:dyDescent="0.35">
      <c r="A276" s="3" t="str">
        <f t="shared" si="4"/>
        <v>Wen_WW_HS</v>
      </c>
      <c r="B276" s="3">
        <v>5</v>
      </c>
      <c r="C276" s="3">
        <v>2</v>
      </c>
      <c r="D276" s="3" t="s">
        <v>117</v>
      </c>
      <c r="E276" s="34">
        <v>1111</v>
      </c>
      <c r="F276" s="3" t="s">
        <v>188</v>
      </c>
      <c r="G276" s="34" t="s">
        <v>121</v>
      </c>
      <c r="H276" s="34" t="s">
        <v>20</v>
      </c>
      <c r="I276" s="34" t="s">
        <v>25</v>
      </c>
      <c r="J276" s="34" t="s">
        <v>22</v>
      </c>
      <c r="K276" s="34" t="s">
        <v>23</v>
      </c>
      <c r="L276" s="34">
        <v>2</v>
      </c>
      <c r="M276" s="34">
        <v>7</v>
      </c>
      <c r="N276" s="35">
        <v>44483</v>
      </c>
      <c r="O276" s="87">
        <v>0.39583333333333331</v>
      </c>
      <c r="P276" s="32" t="b">
        <v>0</v>
      </c>
      <c r="Q276" s="36">
        <f>E276</f>
        <v>1111</v>
      </c>
      <c r="R276" s="36"/>
      <c r="S276" s="34"/>
      <c r="T276" s="39"/>
      <c r="U276" s="86"/>
      <c r="V276" s="89"/>
      <c r="W276" s="89" t="s">
        <v>302</v>
      </c>
      <c r="X276" s="89"/>
      <c r="Y276" s="89"/>
    </row>
    <row r="277" spans="1:25" hidden="1" x14ac:dyDescent="0.35">
      <c r="A277" s="3" t="str">
        <f t="shared" si="4"/>
        <v>Wen_WW_HS</v>
      </c>
      <c r="B277" s="3">
        <v>15</v>
      </c>
      <c r="C277" s="3">
        <v>2</v>
      </c>
      <c r="D277" s="3" t="s">
        <v>117</v>
      </c>
      <c r="E277" s="3">
        <v>1131</v>
      </c>
      <c r="F277" s="3" t="s">
        <v>200</v>
      </c>
      <c r="G277" s="3" t="s">
        <v>121</v>
      </c>
      <c r="H277" s="3" t="s">
        <v>20</v>
      </c>
      <c r="I277" s="3" t="s">
        <v>25</v>
      </c>
      <c r="J277" s="3" t="s">
        <v>35</v>
      </c>
      <c r="K277" s="3" t="s">
        <v>23</v>
      </c>
      <c r="L277" s="3">
        <v>2</v>
      </c>
      <c r="M277" s="3">
        <v>8</v>
      </c>
      <c r="N277" s="4">
        <v>44483</v>
      </c>
      <c r="O277" s="54">
        <v>0.5</v>
      </c>
      <c r="P277" s="5" t="b">
        <v>1</v>
      </c>
      <c r="Q277" s="7">
        <v>1132</v>
      </c>
      <c r="R277" s="7"/>
      <c r="S277" s="3"/>
      <c r="T277" s="3" t="s">
        <v>244</v>
      </c>
      <c r="V277"/>
      <c r="W277"/>
      <c r="X277"/>
      <c r="Y277" s="89"/>
    </row>
    <row r="278" spans="1:25" x14ac:dyDescent="0.35">
      <c r="A278" s="3" t="str">
        <f t="shared" si="4"/>
        <v>Sto_WW_HS</v>
      </c>
      <c r="B278" s="3">
        <v>16</v>
      </c>
      <c r="C278" s="3">
        <v>2</v>
      </c>
      <c r="D278" s="3" t="s">
        <v>117</v>
      </c>
      <c r="E278" s="3">
        <v>1133</v>
      </c>
      <c r="F278" s="3" t="s">
        <v>201</v>
      </c>
      <c r="G278" s="34" t="s">
        <v>121</v>
      </c>
      <c r="H278" s="34" t="s">
        <v>20</v>
      </c>
      <c r="I278" s="34" t="s">
        <v>21</v>
      </c>
      <c r="J278" s="34" t="s">
        <v>26</v>
      </c>
      <c r="K278" s="34" t="s">
        <v>27</v>
      </c>
      <c r="L278" s="34">
        <v>2</v>
      </c>
      <c r="M278" s="3">
        <v>5</v>
      </c>
      <c r="N278" s="35">
        <v>44483</v>
      </c>
      <c r="O278" s="4"/>
      <c r="P278" s="5" t="b">
        <v>0</v>
      </c>
      <c r="Q278" s="36">
        <f>E278</f>
        <v>1133</v>
      </c>
      <c r="R278" s="36">
        <v>1</v>
      </c>
      <c r="S278" s="3"/>
      <c r="T278" s="39"/>
      <c r="V278"/>
      <c r="W278"/>
      <c r="X278"/>
      <c r="Y278" s="89"/>
    </row>
    <row r="279" spans="1:25" hidden="1" x14ac:dyDescent="0.35">
      <c r="A279" s="3" t="str">
        <f t="shared" si="4"/>
        <v>Sto_WW_HS</v>
      </c>
      <c r="B279" s="3">
        <v>16</v>
      </c>
      <c r="C279" s="3">
        <v>2</v>
      </c>
      <c r="D279" s="3" t="s">
        <v>117</v>
      </c>
      <c r="E279" s="3">
        <v>1133</v>
      </c>
      <c r="F279" s="3" t="s">
        <v>201</v>
      </c>
      <c r="G279" s="3" t="s">
        <v>121</v>
      </c>
      <c r="H279" s="3" t="s">
        <v>20</v>
      </c>
      <c r="I279" s="3" t="s">
        <v>21</v>
      </c>
      <c r="J279" s="3" t="s">
        <v>28</v>
      </c>
      <c r="K279" s="3" t="s">
        <v>27</v>
      </c>
      <c r="L279" s="3">
        <v>2</v>
      </c>
      <c r="M279" s="3">
        <v>5</v>
      </c>
      <c r="N279" s="4">
        <v>44483</v>
      </c>
      <c r="O279" s="4"/>
      <c r="P279" s="5" t="b">
        <v>1</v>
      </c>
      <c r="Q279" s="7">
        <v>1134</v>
      </c>
      <c r="R279" s="7"/>
      <c r="S279" s="3"/>
      <c r="T279" s="3"/>
      <c r="V279"/>
      <c r="W279"/>
      <c r="X279"/>
      <c r="Y279" s="89"/>
    </row>
    <row r="280" spans="1:25" hidden="1" x14ac:dyDescent="0.35">
      <c r="A280" s="3" t="str">
        <f t="shared" si="4"/>
        <v>Wen_WS_HS</v>
      </c>
      <c r="B280" s="3">
        <v>7</v>
      </c>
      <c r="C280" s="3">
        <v>2</v>
      </c>
      <c r="D280" s="3" t="s">
        <v>117</v>
      </c>
      <c r="E280" s="34">
        <v>1115</v>
      </c>
      <c r="F280" s="3" t="s">
        <v>190</v>
      </c>
      <c r="G280" s="34" t="s">
        <v>121</v>
      </c>
      <c r="H280" s="34" t="s">
        <v>39</v>
      </c>
      <c r="I280" s="34" t="s">
        <v>25</v>
      </c>
      <c r="J280" s="34" t="s">
        <v>22</v>
      </c>
      <c r="K280" s="34" t="s">
        <v>23</v>
      </c>
      <c r="L280" s="34">
        <v>2</v>
      </c>
      <c r="M280" s="34">
        <v>8</v>
      </c>
      <c r="N280" s="35">
        <v>44483</v>
      </c>
      <c r="O280" s="87">
        <v>0.5</v>
      </c>
      <c r="P280" s="32" t="b">
        <v>0</v>
      </c>
      <c r="Q280" s="36">
        <f>E280</f>
        <v>1115</v>
      </c>
      <c r="R280" s="36"/>
      <c r="S280" s="34"/>
      <c r="T280" s="39"/>
      <c r="U280" s="86"/>
      <c r="V280" s="89"/>
      <c r="W280" s="89"/>
      <c r="X280" s="89"/>
      <c r="Y280" s="89"/>
    </row>
    <row r="281" spans="1:25" hidden="1" x14ac:dyDescent="0.35">
      <c r="A281" s="3" t="str">
        <f t="shared" si="4"/>
        <v>Sto_WS_HS</v>
      </c>
      <c r="B281" s="3">
        <v>9</v>
      </c>
      <c r="C281" s="3">
        <v>2</v>
      </c>
      <c r="D281" s="3" t="s">
        <v>117</v>
      </c>
      <c r="E281" s="34">
        <v>1119</v>
      </c>
      <c r="F281" s="3" t="s">
        <v>192</v>
      </c>
      <c r="G281" s="34" t="s">
        <v>121</v>
      </c>
      <c r="H281" s="34" t="s">
        <v>39</v>
      </c>
      <c r="I281" s="34" t="s">
        <v>21</v>
      </c>
      <c r="J281" s="34" t="s">
        <v>22</v>
      </c>
      <c r="K281" s="34" t="s">
        <v>23</v>
      </c>
      <c r="L281" s="34">
        <v>2</v>
      </c>
      <c r="M281" s="34">
        <v>8</v>
      </c>
      <c r="N281" s="35">
        <v>44483</v>
      </c>
      <c r="O281" s="87">
        <v>0.5</v>
      </c>
      <c r="P281" s="32" t="b">
        <v>0</v>
      </c>
      <c r="Q281" s="36">
        <f>E281</f>
        <v>1119</v>
      </c>
      <c r="R281" s="36"/>
      <c r="S281" s="34"/>
      <c r="T281" s="39"/>
      <c r="U281" s="86"/>
      <c r="V281" s="89"/>
      <c r="W281" s="89" t="s">
        <v>302</v>
      </c>
      <c r="X281" s="89"/>
      <c r="Y281" s="89"/>
    </row>
    <row r="282" spans="1:25" hidden="1" x14ac:dyDescent="0.35">
      <c r="A282" s="3" t="str">
        <f t="shared" si="4"/>
        <v>Wen_WW_HS</v>
      </c>
      <c r="B282" s="3">
        <v>18</v>
      </c>
      <c r="C282" s="3">
        <v>2</v>
      </c>
      <c r="D282" s="3" t="s">
        <v>117</v>
      </c>
      <c r="E282" s="3">
        <v>1137</v>
      </c>
      <c r="F282" s="3" t="s">
        <v>203</v>
      </c>
      <c r="G282" s="3" t="s">
        <v>121</v>
      </c>
      <c r="H282" s="3" t="s">
        <v>20</v>
      </c>
      <c r="I282" s="3" t="s">
        <v>25</v>
      </c>
      <c r="J282" s="3" t="s">
        <v>35</v>
      </c>
      <c r="K282" s="3"/>
      <c r="L282" s="3">
        <v>2</v>
      </c>
      <c r="M282" s="3">
        <v>3</v>
      </c>
      <c r="N282" s="4">
        <v>44483</v>
      </c>
      <c r="O282" s="54">
        <v>0.79166666666666663</v>
      </c>
      <c r="P282" s="5" t="b">
        <v>0</v>
      </c>
      <c r="Q282" s="7">
        <f>E282</f>
        <v>1137</v>
      </c>
      <c r="R282" s="7"/>
      <c r="S282" s="3"/>
      <c r="T282" s="3" t="s">
        <v>215</v>
      </c>
      <c r="V282"/>
      <c r="W282"/>
      <c r="X282"/>
      <c r="Y282" s="89"/>
    </row>
    <row r="283" spans="1:25" hidden="1" x14ac:dyDescent="0.35">
      <c r="A283" s="3" t="str">
        <f t="shared" si="4"/>
        <v>Wen_WW_HS</v>
      </c>
      <c r="B283" s="3">
        <v>18</v>
      </c>
      <c r="C283" s="3">
        <v>2</v>
      </c>
      <c r="D283" s="3" t="s">
        <v>117</v>
      </c>
      <c r="E283" s="34">
        <v>1137</v>
      </c>
      <c r="F283" s="3" t="s">
        <v>203</v>
      </c>
      <c r="G283" s="34" t="s">
        <v>121</v>
      </c>
      <c r="H283" s="34" t="s">
        <v>20</v>
      </c>
      <c r="I283" s="34" t="s">
        <v>25</v>
      </c>
      <c r="J283" s="34"/>
      <c r="K283" s="34"/>
      <c r="L283" s="34">
        <v>2</v>
      </c>
      <c r="M283" s="34">
        <v>3</v>
      </c>
      <c r="N283" s="35"/>
      <c r="O283" s="87"/>
      <c r="P283" s="32" t="b">
        <v>1</v>
      </c>
      <c r="Q283" s="36">
        <v>1138</v>
      </c>
      <c r="R283" s="36"/>
      <c r="S283" s="34"/>
      <c r="T283" s="39"/>
      <c r="U283" s="86"/>
      <c r="V283" s="89"/>
      <c r="W283" s="89"/>
      <c r="X283" s="89"/>
      <c r="Y283" s="89"/>
    </row>
    <row r="284" spans="1:25" hidden="1" x14ac:dyDescent="0.35">
      <c r="A284" s="3" t="str">
        <f t="shared" si="4"/>
        <v>Sto_WW_HS</v>
      </c>
      <c r="B284" s="3">
        <v>19</v>
      </c>
      <c r="C284" s="3">
        <v>2</v>
      </c>
      <c r="D284" s="3" t="s">
        <v>117</v>
      </c>
      <c r="E284" s="3">
        <v>1139</v>
      </c>
      <c r="F284" s="3" t="s">
        <v>204</v>
      </c>
      <c r="G284" s="3" t="s">
        <v>121</v>
      </c>
      <c r="H284" s="3" t="s">
        <v>20</v>
      </c>
      <c r="I284" s="3" t="s">
        <v>21</v>
      </c>
      <c r="J284" s="3" t="s">
        <v>35</v>
      </c>
      <c r="K284" s="3" t="s">
        <v>23</v>
      </c>
      <c r="L284" s="3"/>
      <c r="M284" s="3">
        <v>3</v>
      </c>
      <c r="N284" s="4">
        <v>44483</v>
      </c>
      <c r="O284" s="84">
        <v>0.79166666666666663</v>
      </c>
      <c r="P284" s="5" t="b">
        <v>0</v>
      </c>
      <c r="Q284" s="7">
        <f>E284</f>
        <v>1139</v>
      </c>
      <c r="R284" s="7"/>
      <c r="S284" s="3"/>
      <c r="T284" s="3" t="s">
        <v>273</v>
      </c>
      <c r="V284"/>
      <c r="W284"/>
      <c r="X284"/>
      <c r="Y284" s="89"/>
    </row>
    <row r="285" spans="1:25" ht="29" hidden="1" x14ac:dyDescent="0.35">
      <c r="A285" s="3" t="str">
        <f t="shared" si="4"/>
        <v>Sto_WW_HS</v>
      </c>
      <c r="B285" s="3">
        <v>19</v>
      </c>
      <c r="C285" s="3">
        <v>2</v>
      </c>
      <c r="D285" s="3" t="s">
        <v>117</v>
      </c>
      <c r="E285" s="34">
        <v>1139</v>
      </c>
      <c r="F285" s="3" t="s">
        <v>204</v>
      </c>
      <c r="G285" s="34" t="s">
        <v>121</v>
      </c>
      <c r="H285" s="34" t="s">
        <v>20</v>
      </c>
      <c r="I285" s="34" t="s">
        <v>21</v>
      </c>
      <c r="J285" s="34"/>
      <c r="K285" s="34" t="s">
        <v>27</v>
      </c>
      <c r="L285" s="34"/>
      <c r="M285" s="34">
        <v>3</v>
      </c>
      <c r="N285" s="35"/>
      <c r="O285" s="88"/>
      <c r="P285" s="32" t="b">
        <v>1</v>
      </c>
      <c r="Q285" s="36">
        <v>1140</v>
      </c>
      <c r="R285" s="36"/>
      <c r="S285" s="34"/>
      <c r="T285" s="39" t="s">
        <v>236</v>
      </c>
      <c r="U285" s="86"/>
      <c r="V285" s="89"/>
      <c r="W285" s="89"/>
      <c r="X285" s="89"/>
      <c r="Y285" s="89"/>
    </row>
    <row r="286" spans="1:25" hidden="1" x14ac:dyDescent="0.35">
      <c r="A286" s="3" t="str">
        <f t="shared" si="4"/>
        <v>Sto_WW_HS</v>
      </c>
      <c r="B286" s="3">
        <v>13</v>
      </c>
      <c r="C286" s="3">
        <v>2</v>
      </c>
      <c r="D286" s="3" t="s">
        <v>117</v>
      </c>
      <c r="E286" s="34">
        <v>1127</v>
      </c>
      <c r="F286" s="3" t="s">
        <v>198</v>
      </c>
      <c r="G286" s="34" t="s">
        <v>121</v>
      </c>
      <c r="H286" s="34" t="s">
        <v>20</v>
      </c>
      <c r="I286" s="34" t="s">
        <v>21</v>
      </c>
      <c r="J286" s="34" t="s">
        <v>22</v>
      </c>
      <c r="K286" s="34" t="s">
        <v>23</v>
      </c>
      <c r="L286" s="34">
        <v>2</v>
      </c>
      <c r="M286" s="34">
        <v>8</v>
      </c>
      <c r="N286" s="35">
        <v>44483</v>
      </c>
      <c r="O286" s="87">
        <v>0.5</v>
      </c>
      <c r="P286" s="32" t="b">
        <v>0</v>
      </c>
      <c r="Q286" s="36">
        <f>E286</f>
        <v>1127</v>
      </c>
      <c r="R286" s="36"/>
      <c r="S286" s="34"/>
      <c r="T286" s="39"/>
      <c r="U286" s="86" t="s">
        <v>257</v>
      </c>
      <c r="V286" s="89" t="s">
        <v>257</v>
      </c>
      <c r="W286" s="89"/>
      <c r="X286" s="89"/>
      <c r="Y286" s="89" t="s">
        <v>316</v>
      </c>
    </row>
    <row r="287" spans="1:25" hidden="1" x14ac:dyDescent="0.35">
      <c r="A287" s="3" t="str">
        <f t="shared" si="4"/>
        <v>Wen_WW_HS</v>
      </c>
      <c r="B287" s="3">
        <v>15</v>
      </c>
      <c r="C287" s="3">
        <v>2</v>
      </c>
      <c r="D287" s="3" t="s">
        <v>117</v>
      </c>
      <c r="E287" s="34">
        <v>1131</v>
      </c>
      <c r="F287" s="3" t="s">
        <v>200</v>
      </c>
      <c r="G287" s="94" t="s">
        <v>121</v>
      </c>
      <c r="H287" s="94" t="s">
        <v>20</v>
      </c>
      <c r="I287" s="94" t="s">
        <v>25</v>
      </c>
      <c r="J287" s="94" t="s">
        <v>22</v>
      </c>
      <c r="K287" s="94" t="s">
        <v>23</v>
      </c>
      <c r="L287" s="94">
        <v>2</v>
      </c>
      <c r="M287" s="34">
        <v>8</v>
      </c>
      <c r="N287" s="95">
        <v>44483</v>
      </c>
      <c r="O287" s="87">
        <v>0.5</v>
      </c>
      <c r="P287" s="32" t="b">
        <v>0</v>
      </c>
      <c r="Q287" s="96">
        <f>E287</f>
        <v>1131</v>
      </c>
      <c r="R287" s="96"/>
      <c r="S287" s="34"/>
      <c r="T287" s="97"/>
      <c r="U287" s="86"/>
      <c r="V287" s="89"/>
      <c r="W287" s="89" t="s">
        <v>302</v>
      </c>
      <c r="X287" s="89"/>
      <c r="Y287" s="89"/>
    </row>
    <row r="288" spans="1:25" x14ac:dyDescent="0.35">
      <c r="A288" s="3" t="str">
        <f t="shared" si="4"/>
        <v>Wen_WW_HS</v>
      </c>
      <c r="B288" s="3">
        <v>21</v>
      </c>
      <c r="C288" s="3">
        <v>2</v>
      </c>
      <c r="D288" s="3" t="s">
        <v>117</v>
      </c>
      <c r="E288" s="3">
        <v>1143</v>
      </c>
      <c r="F288" s="3" t="s">
        <v>206</v>
      </c>
      <c r="G288" s="34" t="s">
        <v>121</v>
      </c>
      <c r="H288" s="34" t="s">
        <v>20</v>
      </c>
      <c r="I288" s="34" t="s">
        <v>25</v>
      </c>
      <c r="J288" s="34" t="s">
        <v>26</v>
      </c>
      <c r="K288" s="34" t="s">
        <v>23</v>
      </c>
      <c r="L288" s="34">
        <v>2</v>
      </c>
      <c r="M288" s="3"/>
      <c r="N288" s="35">
        <v>44481</v>
      </c>
      <c r="O288" s="4"/>
      <c r="P288" s="5" t="b">
        <v>0</v>
      </c>
      <c r="Q288" s="36">
        <f>E288</f>
        <v>1143</v>
      </c>
      <c r="R288" s="36">
        <v>1</v>
      </c>
      <c r="S288" s="3"/>
      <c r="T288" s="39"/>
      <c r="V288"/>
      <c r="W288"/>
      <c r="X288"/>
      <c r="Y288" s="89"/>
    </row>
    <row r="289" spans="1:25" hidden="1" x14ac:dyDescent="0.35">
      <c r="A289" s="3" t="str">
        <f t="shared" si="4"/>
        <v>Wen_WW_HS</v>
      </c>
      <c r="B289" s="3">
        <v>21</v>
      </c>
      <c r="C289" s="3">
        <v>2</v>
      </c>
      <c r="D289" s="3" t="s">
        <v>117</v>
      </c>
      <c r="E289" s="3">
        <v>1143</v>
      </c>
      <c r="F289" s="3" t="s">
        <v>206</v>
      </c>
      <c r="G289" s="3" t="s">
        <v>121</v>
      </c>
      <c r="H289" s="3" t="s">
        <v>20</v>
      </c>
      <c r="I289" s="3" t="s">
        <v>25</v>
      </c>
      <c r="J289" s="3" t="s">
        <v>28</v>
      </c>
      <c r="K289" s="3" t="s">
        <v>23</v>
      </c>
      <c r="L289" s="3">
        <v>2</v>
      </c>
      <c r="M289" s="3"/>
      <c r="N289" s="4">
        <v>44481</v>
      </c>
      <c r="O289" s="4"/>
      <c r="P289" s="5" t="b">
        <v>1</v>
      </c>
      <c r="Q289" s="7">
        <v>1144</v>
      </c>
      <c r="R289" s="7"/>
      <c r="S289" s="3"/>
      <c r="T289" s="3"/>
      <c r="V289"/>
      <c r="W289"/>
      <c r="X289"/>
      <c r="Y289" s="89"/>
    </row>
    <row r="290" spans="1:25" hidden="1" x14ac:dyDescent="0.35">
      <c r="A290" s="3" t="str">
        <f t="shared" si="4"/>
        <v>Sto_WW_OT</v>
      </c>
      <c r="G290" s="108" t="s">
        <v>19</v>
      </c>
      <c r="H290" s="108" t="s">
        <v>20</v>
      </c>
      <c r="I290" s="108" t="s">
        <v>21</v>
      </c>
      <c r="J290" s="108" t="s">
        <v>22</v>
      </c>
      <c r="K290" s="34" t="s">
        <v>23</v>
      </c>
      <c r="L290" s="108">
        <v>2</v>
      </c>
      <c r="N290" s="35">
        <v>44483</v>
      </c>
      <c r="Q290">
        <v>65</v>
      </c>
      <c r="R290" s="107">
        <v>1</v>
      </c>
      <c r="T290" s="3" t="s">
        <v>209</v>
      </c>
    </row>
  </sheetData>
  <autoFilter ref="A1:Y290" xr:uid="{932D450C-71F6-4F09-98D8-923559156729}">
    <filterColumn colId="9">
      <filters>
        <filter val="Exud"/>
      </filters>
    </filterColumn>
    <filterColumn colId="17">
      <filters>
        <filter val="1"/>
      </filters>
    </filterColumn>
    <sortState xmlns:xlrd2="http://schemas.microsoft.com/office/spreadsheetml/2017/richdata2" ref="A2:Y287">
      <sortCondition ref="L1:L289"/>
    </sortState>
  </autoFilter>
  <conditionalFormatting sqref="D1:D73 D75:D145">
    <cfRule type="containsText" dxfId="112" priority="26" operator="containsText" text="U3">
      <formula>NOT(ISERROR(SEARCH("U3",D1)))</formula>
    </cfRule>
  </conditionalFormatting>
  <conditionalFormatting sqref="G1:G145">
    <cfRule type="containsText" dxfId="111" priority="25" operator="containsText" text="HS">
      <formula>NOT(ISERROR(SEARCH("HS",G1)))</formula>
    </cfRule>
  </conditionalFormatting>
  <conditionalFormatting sqref="K1:K145">
    <cfRule type="containsText" dxfId="110" priority="22" operator="containsText" text="flux">
      <formula>NOT(ISERROR(SEARCH("flux",K1)))</formula>
    </cfRule>
    <cfRule type="containsText" dxfId="109" priority="23" operator="containsText" text="JEx">
      <formula>NOT(ISERROR(SEARCH("JEx",K1)))</formula>
    </cfRule>
    <cfRule type="containsText" dxfId="108" priority="24" operator="containsText" text="EB">
      <formula>NOT(ISERROR(SEARCH("EB",K1)))</formula>
    </cfRule>
  </conditionalFormatting>
  <conditionalFormatting sqref="D146:D217 D219:D289">
    <cfRule type="containsText" dxfId="107" priority="21" operator="containsText" text="U3">
      <formula>NOT(ISERROR(SEARCH("U3",D146)))</formula>
    </cfRule>
  </conditionalFormatting>
  <conditionalFormatting sqref="G146:G290">
    <cfRule type="containsText" dxfId="106" priority="20" operator="containsText" text="HS">
      <formula>NOT(ISERROR(SEARCH("HS",G146)))</formula>
    </cfRule>
  </conditionalFormatting>
  <conditionalFormatting sqref="K146:K290">
    <cfRule type="containsText" dxfId="105" priority="17" operator="containsText" text="flux">
      <formula>NOT(ISERROR(SEARCH("flux",K146)))</formula>
    </cfRule>
    <cfRule type="containsText" dxfId="104" priority="18" operator="containsText" text="JEx">
      <formula>NOT(ISERROR(SEARCH("JEx",K146)))</formula>
    </cfRule>
    <cfRule type="containsText" dxfId="103" priority="19" operator="containsText" text="EB">
      <formula>NOT(ISERROR(SEARCH("EB",K146)))</formula>
    </cfRule>
  </conditionalFormatting>
  <conditionalFormatting sqref="D218">
    <cfRule type="containsText" dxfId="102" priority="16" operator="containsText" text="U3">
      <formula>NOT(ISERROR(SEARCH("U3",D218)))</formula>
    </cfRule>
  </conditionalFormatting>
  <conditionalFormatting sqref="A1:B2 D74 B3:B145 A3:A290">
    <cfRule type="colorScale" priority="27">
      <colorScale>
        <cfvo type="min"/>
        <cfvo type="max"/>
        <color theme="0"/>
        <color theme="5" tint="-0.249977111117893"/>
      </colorScale>
    </cfRule>
  </conditionalFormatting>
  <conditionalFormatting sqref="C1:C145">
    <cfRule type="colorScale" priority="28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B146:B289">
    <cfRule type="colorScale" priority="14">
      <colorScale>
        <cfvo type="min"/>
        <cfvo type="max"/>
        <color theme="0"/>
        <color theme="5" tint="-0.249977111117893"/>
      </colorScale>
    </cfRule>
  </conditionalFormatting>
  <conditionalFormatting sqref="C146:C289">
    <cfRule type="colorScale" priority="15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J1:J290">
    <cfRule type="containsText" dxfId="101" priority="9" operator="containsText" text="BM">
      <formula>NOT(ISERROR(SEARCH("BM",J1)))</formula>
    </cfRule>
    <cfRule type="containsText" dxfId="100" priority="11" operator="containsText" text="exud">
      <formula>NOT(ISERROR(SEARCH("exud",J1)))</formula>
    </cfRule>
    <cfRule type="containsText" dxfId="99" priority="12" operator="containsText" text="jav">
      <formula>NOT(ISERROR(SEARCH("jav",J1)))</formula>
    </cfRule>
    <cfRule type="containsText" dxfId="98" priority="13" operator="containsText" text="eco">
      <formula>NOT(ISERROR(SEARCH("eco",J1)))</formula>
    </cfRule>
  </conditionalFormatting>
  <conditionalFormatting sqref="P2:P289">
    <cfRule type="containsText" dxfId="97" priority="10" operator="containsText" text="faux">
      <formula>NOT(ISERROR(SEARCH("faux",P2)))</formula>
    </cfRule>
  </conditionalFormatting>
  <conditionalFormatting sqref="N1:N29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8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6:O289 O1:O28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:Y1048576">
    <cfRule type="containsText" dxfId="96" priority="2" operator="containsText" text="&quot;&quot;">
      <formula>NOT(ISERROR(SEARCH("""""",Y1)))</formula>
    </cfRule>
    <cfRule type="containsText" dxfId="95" priority="3" operator="containsText" text="xx">
      <formula>NOT(ISERROR(SEARCH("xx",Y1)))</formula>
    </cfRule>
    <cfRule type="containsText" dxfId="94" priority="4" operator="containsText" text="x">
      <formula>NOT(ISERROR(SEARCH("x",Y1)))</formula>
    </cfRule>
  </conditionalFormatting>
  <conditionalFormatting sqref="W1:W1048576">
    <cfRule type="containsText" dxfId="93" priority="6" operator="containsText" text="x">
      <formula>NOT(ISERROR(SEARCH("x",W1)))</formula>
    </cfRule>
  </conditionalFormatting>
  <conditionalFormatting sqref="X1:X1048576">
    <cfRule type="containsText" dxfId="92" priority="5" operator="containsText" text="x">
      <formula>NOT(ISERROR(SEARCH("x",X1)))</formula>
    </cfRule>
  </conditionalFormatting>
  <conditionalFormatting sqref="R1:R104857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25" right="0.25" top="0.75" bottom="0.75" header="0.3" footer="0.3"/>
  <pageSetup paperSize="9" orientation="portrait" r:id="rId1"/>
  <headerFooter>
    <oddHeader xml:space="preserve">&amp;Clist exud for metabo </oddHeader>
    <oddFooter>&amp;L&amp;Z&amp;F&amp;R&amp;P/&amp;N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75C7-366E-419F-B708-41883AF6B86F}">
  <dimension ref="A1:E19"/>
  <sheetViews>
    <sheetView workbookViewId="0">
      <selection activeCell="K26" sqref="K26"/>
    </sheetView>
  </sheetViews>
  <sheetFormatPr baseColWidth="10" defaultRowHeight="14.5" x14ac:dyDescent="0.35"/>
  <cols>
    <col min="1" max="1" width="21.1796875" bestFit="1" customWidth="1"/>
    <col min="2" max="2" width="23.81640625" bestFit="1" customWidth="1"/>
    <col min="3" max="7" width="6.453125" bestFit="1" customWidth="1"/>
    <col min="8" max="8" width="12.54296875" bestFit="1" customWidth="1"/>
    <col min="9" max="9" width="8.54296875" bestFit="1" customWidth="1"/>
    <col min="10" max="10" width="12.54296875" bestFit="1" customWidth="1"/>
  </cols>
  <sheetData>
    <row r="1" spans="1:5" ht="18" x14ac:dyDescent="0.4">
      <c r="A1" s="9" t="s">
        <v>8</v>
      </c>
      <c r="B1" t="s">
        <v>26</v>
      </c>
      <c r="C1" s="14" t="s">
        <v>246</v>
      </c>
    </row>
    <row r="3" spans="1:5" x14ac:dyDescent="0.35">
      <c r="A3" s="9" t="s">
        <v>239</v>
      </c>
      <c r="B3" s="9" t="s">
        <v>240</v>
      </c>
    </row>
    <row r="4" spans="1:5" x14ac:dyDescent="0.35">
      <c r="A4" s="9" t="s">
        <v>237</v>
      </c>
      <c r="B4" t="s">
        <v>241</v>
      </c>
      <c r="C4" t="s">
        <v>242</v>
      </c>
      <c r="D4" t="s">
        <v>243</v>
      </c>
      <c r="E4" t="s">
        <v>284</v>
      </c>
    </row>
    <row r="5" spans="1:5" x14ac:dyDescent="0.35">
      <c r="A5" s="10" t="s">
        <v>121</v>
      </c>
      <c r="B5" s="13"/>
      <c r="C5" s="13"/>
      <c r="D5" s="13"/>
      <c r="E5" s="13"/>
    </row>
    <row r="6" spans="1:5" x14ac:dyDescent="0.35">
      <c r="A6" s="11" t="s">
        <v>39</v>
      </c>
      <c r="B6" s="13"/>
      <c r="C6" s="13"/>
      <c r="D6" s="13"/>
      <c r="E6" s="13"/>
    </row>
    <row r="7" spans="1:5" x14ac:dyDescent="0.35">
      <c r="A7" s="12" t="s">
        <v>21</v>
      </c>
      <c r="B7" s="13">
        <v>2</v>
      </c>
      <c r="C7" s="13">
        <v>1</v>
      </c>
      <c r="D7" s="13">
        <v>2</v>
      </c>
      <c r="E7" s="13"/>
    </row>
    <row r="8" spans="1:5" x14ac:dyDescent="0.35">
      <c r="A8" s="12" t="s">
        <v>25</v>
      </c>
      <c r="B8" s="13">
        <v>2</v>
      </c>
      <c r="C8" s="13">
        <v>3</v>
      </c>
      <c r="D8" s="13"/>
      <c r="E8" s="13">
        <v>1</v>
      </c>
    </row>
    <row r="9" spans="1:5" x14ac:dyDescent="0.35">
      <c r="A9" s="11" t="s">
        <v>20</v>
      </c>
      <c r="B9" s="13"/>
      <c r="C9" s="13"/>
      <c r="D9" s="13"/>
      <c r="E9" s="13"/>
    </row>
    <row r="10" spans="1:5" x14ac:dyDescent="0.35">
      <c r="A10" s="12" t="s">
        <v>21</v>
      </c>
      <c r="B10" s="13">
        <v>2</v>
      </c>
      <c r="C10" s="13">
        <v>2</v>
      </c>
      <c r="D10" s="13">
        <v>1</v>
      </c>
      <c r="E10" s="13">
        <v>6</v>
      </c>
    </row>
    <row r="11" spans="1:5" x14ac:dyDescent="0.35">
      <c r="A11" s="12" t="s">
        <v>25</v>
      </c>
      <c r="B11" s="13">
        <v>2</v>
      </c>
      <c r="C11" s="13">
        <v>2</v>
      </c>
      <c r="D11" s="13">
        <v>2</v>
      </c>
      <c r="E11" s="13">
        <v>3</v>
      </c>
    </row>
    <row r="12" spans="1:5" x14ac:dyDescent="0.35">
      <c r="A12" s="10" t="s">
        <v>19</v>
      </c>
      <c r="B12" s="13"/>
      <c r="C12" s="13"/>
      <c r="D12" s="13"/>
      <c r="E12" s="13"/>
    </row>
    <row r="13" spans="1:5" x14ac:dyDescent="0.35">
      <c r="A13" s="11" t="s">
        <v>39</v>
      </c>
      <c r="B13" s="13"/>
      <c r="C13" s="13"/>
      <c r="D13" s="13"/>
      <c r="E13" s="13"/>
    </row>
    <row r="14" spans="1:5" x14ac:dyDescent="0.35">
      <c r="A14" s="12" t="s">
        <v>21</v>
      </c>
      <c r="B14" s="13">
        <v>2</v>
      </c>
      <c r="C14" s="13">
        <v>2</v>
      </c>
      <c r="D14" s="13">
        <v>1</v>
      </c>
      <c r="E14" s="13"/>
    </row>
    <row r="15" spans="1:5" x14ac:dyDescent="0.35">
      <c r="A15" s="12" t="s">
        <v>25</v>
      </c>
      <c r="B15" s="13">
        <v>3</v>
      </c>
      <c r="C15" s="13">
        <v>1</v>
      </c>
      <c r="D15" s="13">
        <v>1</v>
      </c>
      <c r="E15" s="13"/>
    </row>
    <row r="16" spans="1:5" x14ac:dyDescent="0.35">
      <c r="A16" s="11" t="s">
        <v>20</v>
      </c>
      <c r="B16" s="13"/>
      <c r="C16" s="13"/>
      <c r="D16" s="13"/>
      <c r="E16" s="13"/>
    </row>
    <row r="17" spans="1:5" x14ac:dyDescent="0.35">
      <c r="A17" s="12" t="s">
        <v>21</v>
      </c>
      <c r="B17" s="13">
        <v>2</v>
      </c>
      <c r="C17" s="13">
        <v>3</v>
      </c>
      <c r="D17" s="13">
        <v>1</v>
      </c>
      <c r="E17" s="13"/>
    </row>
    <row r="18" spans="1:5" x14ac:dyDescent="0.35">
      <c r="A18" s="12" t="s">
        <v>25</v>
      </c>
      <c r="B18" s="13">
        <v>1</v>
      </c>
      <c r="C18" s="13">
        <v>2</v>
      </c>
      <c r="D18" s="13">
        <v>4</v>
      </c>
      <c r="E18" s="13"/>
    </row>
    <row r="19" spans="1:5" x14ac:dyDescent="0.35">
      <c r="A19" s="10" t="s">
        <v>238</v>
      </c>
      <c r="B19" s="13">
        <v>16</v>
      </c>
      <c r="C19" s="13">
        <v>16</v>
      </c>
      <c r="D19" s="13">
        <v>12</v>
      </c>
      <c r="E19" s="13">
        <v>10</v>
      </c>
    </row>
  </sheetData>
  <conditionalFormatting pivot="1" sqref="B7:D8 B10:D11 B14:D15 B17:D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6C20-D3FC-40B0-B07F-E240AE95117E}">
  <dimension ref="A1:Q77"/>
  <sheetViews>
    <sheetView view="pageLayout" topLeftCell="A26" zoomScaleNormal="100" workbookViewId="0">
      <selection activeCell="M69" sqref="M69"/>
    </sheetView>
  </sheetViews>
  <sheetFormatPr baseColWidth="10" defaultRowHeight="21" x14ac:dyDescent="0.5"/>
  <cols>
    <col min="1" max="1" width="9.81640625" customWidth="1"/>
    <col min="2" max="2" width="7.81640625" customWidth="1"/>
    <col min="3" max="3" width="4.54296875" customWidth="1"/>
    <col min="4" max="4" width="8" customWidth="1"/>
    <col min="5" max="7" width="0" hidden="1" customWidth="1"/>
    <col min="8" max="8" width="9.1796875" customWidth="1"/>
    <col min="10" max="10" width="14.453125" customWidth="1"/>
    <col min="11" max="11" width="5.54296875" style="83" customWidth="1"/>
    <col min="12" max="12" width="6.1796875" customWidth="1"/>
    <col min="13" max="13" width="11.81640625" customWidth="1"/>
    <col min="14" max="14" width="9.1796875" customWidth="1"/>
    <col min="15" max="15" width="9.81640625" customWidth="1"/>
    <col min="16" max="16" width="15.81640625" customWidth="1"/>
  </cols>
  <sheetData>
    <row r="1" spans="1:17" ht="58" x14ac:dyDescent="0.35">
      <c r="A1" s="59" t="s">
        <v>7</v>
      </c>
      <c r="B1" s="60" t="s">
        <v>5</v>
      </c>
      <c r="C1" s="59" t="s">
        <v>6</v>
      </c>
      <c r="D1" s="59" t="s">
        <v>8</v>
      </c>
      <c r="E1" s="59" t="s">
        <v>10</v>
      </c>
      <c r="F1" s="59" t="s">
        <v>11</v>
      </c>
      <c r="G1" s="61" t="s">
        <v>13</v>
      </c>
      <c r="H1" s="59" t="s">
        <v>248</v>
      </c>
      <c r="I1" s="61" t="s">
        <v>12</v>
      </c>
      <c r="J1" s="61" t="s">
        <v>269</v>
      </c>
      <c r="K1" s="59" t="s">
        <v>247</v>
      </c>
      <c r="L1" s="59" t="s">
        <v>14</v>
      </c>
      <c r="M1" s="59" t="s">
        <v>898</v>
      </c>
      <c r="N1" s="59" t="s">
        <v>15</v>
      </c>
      <c r="O1" s="59" t="s">
        <v>270</v>
      </c>
      <c r="P1" s="59" t="s">
        <v>16</v>
      </c>
      <c r="Q1" s="46" t="s">
        <v>271</v>
      </c>
    </row>
    <row r="2" spans="1:17" ht="21" hidden="1" customHeight="1" x14ac:dyDescent="0.5">
      <c r="A2" s="20" t="s">
        <v>21</v>
      </c>
      <c r="B2" s="26" t="s">
        <v>19</v>
      </c>
      <c r="C2" s="20" t="s">
        <v>20</v>
      </c>
      <c r="D2" s="20" t="s">
        <v>35</v>
      </c>
      <c r="E2" s="20">
        <v>2</v>
      </c>
      <c r="F2" s="20">
        <v>1</v>
      </c>
      <c r="G2" s="18" t="b">
        <v>0</v>
      </c>
      <c r="H2" s="57"/>
      <c r="I2" s="21">
        <v>44483</v>
      </c>
      <c r="J2" s="55">
        <v>0.72916666666666663</v>
      </c>
      <c r="K2" s="80"/>
      <c r="L2" s="70">
        <v>5</v>
      </c>
      <c r="M2" s="70" t="str">
        <f>IF(Tableau1[[#This Row],[genotype]]="Wendy","Wen","Sto")&amp;"_"&amp;Tableau1[[#This Row],[water_condition]]&amp;"_"&amp;Tableau1[[#This Row],[heat_condition]]</f>
        <v>Sto_WW_OT</v>
      </c>
      <c r="N2" s="71"/>
      <c r="O2" s="16" t="s">
        <v>272</v>
      </c>
      <c r="P2" s="77" t="s">
        <v>235</v>
      </c>
    </row>
    <row r="3" spans="1:17" ht="21" customHeight="1" x14ac:dyDescent="0.5">
      <c r="A3" s="16" t="s">
        <v>25</v>
      </c>
      <c r="B3" s="27" t="s">
        <v>19</v>
      </c>
      <c r="C3" s="16" t="s">
        <v>20</v>
      </c>
      <c r="D3" s="16" t="s">
        <v>35</v>
      </c>
      <c r="E3" s="16">
        <v>2</v>
      </c>
      <c r="F3" s="16">
        <v>2</v>
      </c>
      <c r="G3" s="18" t="b">
        <v>1</v>
      </c>
      <c r="H3" s="58" t="s">
        <v>249</v>
      </c>
      <c r="I3" s="17">
        <v>44481</v>
      </c>
      <c r="J3" s="56">
        <v>0.34375</v>
      </c>
      <c r="K3" s="79">
        <v>1</v>
      </c>
      <c r="L3" s="19">
        <v>16</v>
      </c>
      <c r="M3" s="86" t="str">
        <f>IF(Tableau1[[#This Row],[genotype]]="Wendy","Wen","Sto")&amp;"_"&amp;Tableau1[[#This Row],[water_condition]]&amp;"_"&amp;Tableau1[[#This Row],[heat_condition]]</f>
        <v>Wen_WW_OT</v>
      </c>
      <c r="N3" s="16"/>
      <c r="O3" s="16" t="s">
        <v>318</v>
      </c>
      <c r="P3" s="74"/>
    </row>
    <row r="4" spans="1:17" ht="21" customHeight="1" x14ac:dyDescent="0.5">
      <c r="A4" s="20" t="s">
        <v>25</v>
      </c>
      <c r="B4" s="26" t="s">
        <v>19</v>
      </c>
      <c r="C4" s="20" t="s">
        <v>20</v>
      </c>
      <c r="D4" s="20" t="s">
        <v>35</v>
      </c>
      <c r="E4" s="20">
        <v>2</v>
      </c>
      <c r="F4" s="20">
        <v>5</v>
      </c>
      <c r="G4" s="18" t="b">
        <v>1</v>
      </c>
      <c r="H4" s="57" t="s">
        <v>249</v>
      </c>
      <c r="I4" s="21">
        <v>44482</v>
      </c>
      <c r="J4" s="55">
        <v>0.51041666666666663</v>
      </c>
      <c r="K4" s="80">
        <v>1</v>
      </c>
      <c r="L4" s="22">
        <v>84</v>
      </c>
      <c r="M4" s="86" t="str">
        <f>IF(Tableau1[[#This Row],[genotype]]="Wendy","Wen","Sto")&amp;"_"&amp;Tableau1[[#This Row],[water_condition]]&amp;"_"&amp;Tableau1[[#This Row],[heat_condition]]</f>
        <v>Wen_WW_OT</v>
      </c>
      <c r="N4" s="20"/>
      <c r="O4" s="16" t="s">
        <v>318</v>
      </c>
      <c r="P4" s="75"/>
    </row>
    <row r="5" spans="1:17" ht="21" customHeight="1" x14ac:dyDescent="0.5">
      <c r="A5" s="16" t="s">
        <v>25</v>
      </c>
      <c r="B5" s="27" t="s">
        <v>19</v>
      </c>
      <c r="C5" s="16" t="s">
        <v>20</v>
      </c>
      <c r="D5" s="16" t="s">
        <v>35</v>
      </c>
      <c r="E5" s="16">
        <v>2</v>
      </c>
      <c r="F5" s="16">
        <v>2</v>
      </c>
      <c r="G5" s="18" t="b">
        <v>1</v>
      </c>
      <c r="H5" s="58" t="s">
        <v>249</v>
      </c>
      <c r="I5" s="17">
        <v>44481</v>
      </c>
      <c r="J5" s="56">
        <v>0.47222222222222227</v>
      </c>
      <c r="K5" s="79">
        <v>2</v>
      </c>
      <c r="L5" s="19">
        <v>30</v>
      </c>
      <c r="M5" s="86" t="str">
        <f>IF(Tableau1[[#This Row],[genotype]]="Wendy","Wen","Sto")&amp;"_"&amp;Tableau1[[#This Row],[water_condition]]&amp;"_"&amp;Tableau1[[#This Row],[heat_condition]]</f>
        <v>Wen_WW_OT</v>
      </c>
      <c r="N5" s="16"/>
      <c r="O5" s="16" t="s">
        <v>318</v>
      </c>
      <c r="P5" s="74"/>
    </row>
    <row r="6" spans="1:17" ht="21" customHeight="1" x14ac:dyDescent="0.5">
      <c r="A6" s="16" t="s">
        <v>25</v>
      </c>
      <c r="B6" s="27" t="s">
        <v>19</v>
      </c>
      <c r="C6" s="16" t="s">
        <v>20</v>
      </c>
      <c r="D6" s="16" t="s">
        <v>35</v>
      </c>
      <c r="E6" s="16">
        <v>2</v>
      </c>
      <c r="F6" s="16">
        <v>8</v>
      </c>
      <c r="G6" s="18" t="b">
        <v>1</v>
      </c>
      <c r="H6" s="58" t="s">
        <v>249</v>
      </c>
      <c r="I6" s="17">
        <v>44483</v>
      </c>
      <c r="J6" s="56">
        <v>0.42708333333333331</v>
      </c>
      <c r="K6" s="79">
        <v>2</v>
      </c>
      <c r="L6" s="19">
        <v>132</v>
      </c>
      <c r="M6" s="86" t="str">
        <f>IF(Tableau1[[#This Row],[genotype]]="Wendy","Wen","Sto")&amp;"_"&amp;Tableau1[[#This Row],[water_condition]]&amp;"_"&amp;Tableau1[[#This Row],[heat_condition]]</f>
        <v>Wen_WW_OT</v>
      </c>
      <c r="N6" s="16"/>
      <c r="O6" s="16" t="s">
        <v>318</v>
      </c>
      <c r="P6" s="74"/>
    </row>
    <row r="7" spans="1:17" ht="21" customHeight="1" x14ac:dyDescent="0.5">
      <c r="A7" s="16" t="s">
        <v>25</v>
      </c>
      <c r="B7" s="27" t="s">
        <v>19</v>
      </c>
      <c r="C7" s="16" t="s">
        <v>20</v>
      </c>
      <c r="D7" s="16" t="s">
        <v>35</v>
      </c>
      <c r="E7" s="16">
        <v>2</v>
      </c>
      <c r="F7" s="16"/>
      <c r="G7" s="18" t="b">
        <v>1</v>
      </c>
      <c r="H7" s="58" t="s">
        <v>249</v>
      </c>
      <c r="I7" s="17">
        <v>44482</v>
      </c>
      <c r="J7" s="56">
        <v>0.38541666666666669</v>
      </c>
      <c r="K7" s="79">
        <v>3</v>
      </c>
      <c r="L7" s="19">
        <v>56</v>
      </c>
      <c r="M7" s="86" t="str">
        <f>IF(Tableau1[[#This Row],[genotype]]="Wendy","Wen","Sto")&amp;"_"&amp;Tableau1[[#This Row],[water_condition]]&amp;"_"&amp;Tableau1[[#This Row],[heat_condition]]</f>
        <v>Wen_WW_OT</v>
      </c>
      <c r="N7" s="16"/>
      <c r="O7" s="16" t="s">
        <v>318</v>
      </c>
      <c r="P7" s="74"/>
    </row>
    <row r="8" spans="1:17" ht="21" customHeight="1" x14ac:dyDescent="0.5">
      <c r="A8" s="16" t="s">
        <v>25</v>
      </c>
      <c r="B8" s="27" t="s">
        <v>19</v>
      </c>
      <c r="C8" s="16" t="s">
        <v>20</v>
      </c>
      <c r="D8" s="16" t="s">
        <v>35</v>
      </c>
      <c r="E8" s="16">
        <v>2</v>
      </c>
      <c r="F8" s="16">
        <v>7</v>
      </c>
      <c r="G8" s="18" t="b">
        <v>1</v>
      </c>
      <c r="H8" s="58" t="s">
        <v>249</v>
      </c>
      <c r="I8" s="17">
        <v>44483</v>
      </c>
      <c r="J8" s="56">
        <v>0.4375</v>
      </c>
      <c r="K8" s="79">
        <v>3</v>
      </c>
      <c r="L8" s="19">
        <v>112</v>
      </c>
      <c r="M8" s="86" t="str">
        <f>IF(Tableau1[[#This Row],[genotype]]="Wendy","Wen","Sto")&amp;"_"&amp;Tableau1[[#This Row],[water_condition]]&amp;"_"&amp;Tableau1[[#This Row],[heat_condition]]</f>
        <v>Wen_WW_OT</v>
      </c>
      <c r="N8" s="16"/>
      <c r="O8" s="16" t="s">
        <v>318</v>
      </c>
      <c r="P8" s="74"/>
    </row>
    <row r="9" spans="1:17" ht="21" customHeight="1" x14ac:dyDescent="0.5">
      <c r="A9" s="16" t="s">
        <v>25</v>
      </c>
      <c r="B9" s="27" t="s">
        <v>19</v>
      </c>
      <c r="C9" s="16" t="s">
        <v>20</v>
      </c>
      <c r="D9" s="16" t="s">
        <v>35</v>
      </c>
      <c r="E9" s="16">
        <v>2</v>
      </c>
      <c r="F9" s="16">
        <v>1</v>
      </c>
      <c r="G9" s="18" t="b">
        <v>1</v>
      </c>
      <c r="H9" s="58" t="s">
        <v>249</v>
      </c>
      <c r="I9" s="17">
        <v>44481</v>
      </c>
      <c r="J9" s="56">
        <v>0.34375</v>
      </c>
      <c r="K9" s="79">
        <v>4</v>
      </c>
      <c r="L9" s="19">
        <v>20</v>
      </c>
      <c r="M9" s="86" t="str">
        <f>IF(Tableau1[[#This Row],[genotype]]="Wendy","Wen","Sto")&amp;"_"&amp;Tableau1[[#This Row],[water_condition]]&amp;"_"&amp;Tableau1[[#This Row],[heat_condition]]</f>
        <v>Wen_WW_OT</v>
      </c>
      <c r="N9" s="16"/>
      <c r="O9" s="16" t="s">
        <v>318</v>
      </c>
      <c r="P9" s="74"/>
    </row>
    <row r="10" spans="1:17" ht="21" customHeight="1" x14ac:dyDescent="0.5">
      <c r="A10" s="16" t="s">
        <v>25</v>
      </c>
      <c r="B10" s="27" t="s">
        <v>19</v>
      </c>
      <c r="C10" s="16" t="s">
        <v>20</v>
      </c>
      <c r="D10" s="16" t="s">
        <v>35</v>
      </c>
      <c r="E10" s="16">
        <v>2</v>
      </c>
      <c r="F10" s="16">
        <v>3</v>
      </c>
      <c r="G10" s="18" t="b">
        <v>1</v>
      </c>
      <c r="H10" s="58" t="s">
        <v>249</v>
      </c>
      <c r="I10" s="17">
        <v>44483</v>
      </c>
      <c r="J10" s="56">
        <v>0.42708333333333331</v>
      </c>
      <c r="K10" s="79">
        <v>4</v>
      </c>
      <c r="L10" s="68">
        <v>138</v>
      </c>
      <c r="M10" s="86" t="str">
        <f>IF(Tableau1[[#This Row],[genotype]]="Wendy","Wen","Sto")&amp;"_"&amp;Tableau1[[#This Row],[water_condition]]&amp;"_"&amp;Tableau1[[#This Row],[heat_condition]]</f>
        <v>Wen_WW_OT</v>
      </c>
      <c r="N10" s="69"/>
      <c r="O10" s="16" t="s">
        <v>318</v>
      </c>
      <c r="P10" s="76"/>
    </row>
    <row r="11" spans="1:17" ht="21" customHeight="1" x14ac:dyDescent="0.5">
      <c r="A11" s="20" t="s">
        <v>21</v>
      </c>
      <c r="B11" s="26" t="s">
        <v>19</v>
      </c>
      <c r="C11" s="20" t="s">
        <v>20</v>
      </c>
      <c r="D11" s="20" t="s">
        <v>35</v>
      </c>
      <c r="E11" s="20">
        <v>2</v>
      </c>
      <c r="F11" s="20">
        <v>1</v>
      </c>
      <c r="G11" s="18" t="b">
        <v>1</v>
      </c>
      <c r="H11" s="57" t="s">
        <v>249</v>
      </c>
      <c r="I11" s="21">
        <v>44481</v>
      </c>
      <c r="J11" s="55">
        <v>0.34375</v>
      </c>
      <c r="K11" s="80">
        <v>5</v>
      </c>
      <c r="L11" s="70">
        <v>18</v>
      </c>
      <c r="M11" s="86" t="str">
        <f>IF(Tableau1[[#This Row],[genotype]]="Wendy","Wen","Sto")&amp;"_"&amp;Tableau1[[#This Row],[water_condition]]&amp;"_"&amp;Tableau1[[#This Row],[heat_condition]]</f>
        <v>Sto_WW_OT</v>
      </c>
      <c r="N11" s="71"/>
      <c r="O11" s="16" t="s">
        <v>318</v>
      </c>
      <c r="P11" s="77"/>
    </row>
    <row r="12" spans="1:17" ht="21" customHeight="1" x14ac:dyDescent="0.5">
      <c r="A12" s="20" t="s">
        <v>21</v>
      </c>
      <c r="B12" s="26" t="s">
        <v>19</v>
      </c>
      <c r="C12" s="20" t="s">
        <v>20</v>
      </c>
      <c r="D12" s="20" t="s">
        <v>35</v>
      </c>
      <c r="E12" s="20">
        <v>2</v>
      </c>
      <c r="F12" s="20">
        <v>3</v>
      </c>
      <c r="G12" s="18" t="b">
        <v>1</v>
      </c>
      <c r="H12" s="57" t="s">
        <v>249</v>
      </c>
      <c r="I12" s="21">
        <v>44483</v>
      </c>
      <c r="J12" s="55">
        <v>0.42708333333333331</v>
      </c>
      <c r="K12" s="80">
        <v>5</v>
      </c>
      <c r="L12" s="70">
        <v>140</v>
      </c>
      <c r="M12" s="86" t="str">
        <f>IF(Tableau1[[#This Row],[genotype]]="Wendy","Wen","Sto")&amp;"_"&amp;Tableau1[[#This Row],[water_condition]]&amp;"_"&amp;Tableau1[[#This Row],[heat_condition]]</f>
        <v>Sto_WW_OT</v>
      </c>
      <c r="N12" s="71"/>
      <c r="O12" s="16" t="s">
        <v>318</v>
      </c>
      <c r="P12" s="77"/>
    </row>
    <row r="13" spans="1:17" ht="21" customHeight="1" x14ac:dyDescent="0.5">
      <c r="A13" s="20" t="s">
        <v>21</v>
      </c>
      <c r="B13" s="26" t="s">
        <v>19</v>
      </c>
      <c r="C13" s="20" t="s">
        <v>20</v>
      </c>
      <c r="D13" s="20" t="s">
        <v>35</v>
      </c>
      <c r="E13" s="20">
        <v>2</v>
      </c>
      <c r="F13" s="20"/>
      <c r="G13" s="18" t="b">
        <v>1</v>
      </c>
      <c r="H13" s="57" t="s">
        <v>249</v>
      </c>
      <c r="I13" s="21">
        <v>44482</v>
      </c>
      <c r="J13" s="55">
        <v>0.38541666666666669</v>
      </c>
      <c r="K13" s="80">
        <v>6</v>
      </c>
      <c r="L13" s="70">
        <v>54</v>
      </c>
      <c r="M13" s="86" t="str">
        <f>IF(Tableau1[[#This Row],[genotype]]="Wendy","Wen","Sto")&amp;"_"&amp;Tableau1[[#This Row],[water_condition]]&amp;"_"&amp;Tableau1[[#This Row],[heat_condition]]</f>
        <v>Sto_WW_OT</v>
      </c>
      <c r="N13" s="71"/>
      <c r="O13" s="16" t="s">
        <v>318</v>
      </c>
      <c r="P13" s="77"/>
    </row>
    <row r="14" spans="1:17" ht="21" hidden="1" customHeight="1" x14ac:dyDescent="0.5">
      <c r="A14" s="20" t="s">
        <v>21</v>
      </c>
      <c r="B14" s="26" t="s">
        <v>19</v>
      </c>
      <c r="C14" s="20" t="s">
        <v>39</v>
      </c>
      <c r="D14" s="20" t="s">
        <v>35</v>
      </c>
      <c r="E14" s="20">
        <v>2</v>
      </c>
      <c r="F14" s="20">
        <v>1</v>
      </c>
      <c r="G14" s="18" t="b">
        <v>1</v>
      </c>
      <c r="H14" s="57"/>
      <c r="I14" s="21">
        <v>44483</v>
      </c>
      <c r="J14" s="55">
        <v>0.72916666666666663</v>
      </c>
      <c r="K14" s="80"/>
      <c r="L14" s="70">
        <v>46</v>
      </c>
      <c r="M14" s="70" t="str">
        <f>IF(Tableau1[[#This Row],[genotype]]="Wendy","Wen","Sto")&amp;"_"&amp;Tableau1[[#This Row],[water_condition]]&amp;"_"&amp;Tableau1[[#This Row],[heat_condition]]</f>
        <v>Sto_WS_OT</v>
      </c>
      <c r="N14" s="71" t="s">
        <v>55</v>
      </c>
      <c r="O14" s="16" t="s">
        <v>272</v>
      </c>
      <c r="P14" s="77" t="s">
        <v>220</v>
      </c>
    </row>
    <row r="15" spans="1:17" ht="21" customHeight="1" x14ac:dyDescent="0.5">
      <c r="A15" s="20" t="s">
        <v>21</v>
      </c>
      <c r="B15" s="26" t="s">
        <v>19</v>
      </c>
      <c r="C15" s="20" t="s">
        <v>20</v>
      </c>
      <c r="D15" s="20" t="s">
        <v>35</v>
      </c>
      <c r="E15" s="20">
        <v>2</v>
      </c>
      <c r="F15" s="20">
        <v>8</v>
      </c>
      <c r="G15" s="18" t="b">
        <v>1</v>
      </c>
      <c r="H15" s="57" t="s">
        <v>249</v>
      </c>
      <c r="I15" s="21">
        <v>44483</v>
      </c>
      <c r="J15" s="55">
        <v>0.42708333333333331</v>
      </c>
      <c r="K15" s="80">
        <v>6</v>
      </c>
      <c r="L15" s="70">
        <v>128</v>
      </c>
      <c r="M15" s="86" t="str">
        <f>IF(Tableau1[[#This Row],[genotype]]="Wendy","Wen","Sto")&amp;"_"&amp;Tableau1[[#This Row],[water_condition]]&amp;"_"&amp;Tableau1[[#This Row],[heat_condition]]</f>
        <v>Sto_WW_OT</v>
      </c>
      <c r="N15" s="71"/>
      <c r="O15" s="16" t="s">
        <v>318</v>
      </c>
      <c r="P15" s="77"/>
    </row>
    <row r="16" spans="1:17" ht="21" customHeight="1" x14ac:dyDescent="0.5">
      <c r="A16" s="20" t="s">
        <v>21</v>
      </c>
      <c r="B16" s="26" t="s">
        <v>19</v>
      </c>
      <c r="C16" s="20" t="s">
        <v>20</v>
      </c>
      <c r="D16" s="20" t="s">
        <v>35</v>
      </c>
      <c r="E16" s="20">
        <v>2</v>
      </c>
      <c r="F16" s="20">
        <v>2</v>
      </c>
      <c r="G16" s="18" t="b">
        <v>1</v>
      </c>
      <c r="H16" s="57" t="s">
        <v>249</v>
      </c>
      <c r="I16" s="21">
        <v>44481</v>
      </c>
      <c r="J16" s="55">
        <v>0.47222222222222227</v>
      </c>
      <c r="K16" s="80">
        <v>7</v>
      </c>
      <c r="L16" s="70">
        <v>28</v>
      </c>
      <c r="M16" s="86" t="str">
        <f>IF(Tableau1[[#This Row],[genotype]]="Wendy","Wen","Sto")&amp;"_"&amp;Tableau1[[#This Row],[water_condition]]&amp;"_"&amp;Tableau1[[#This Row],[heat_condition]]</f>
        <v>Sto_WW_OT</v>
      </c>
      <c r="N16" s="71"/>
      <c r="O16" s="16" t="s">
        <v>318</v>
      </c>
      <c r="P16" s="77"/>
    </row>
    <row r="17" spans="1:16" ht="21" customHeight="1" x14ac:dyDescent="0.5">
      <c r="A17" s="20" t="s">
        <v>21</v>
      </c>
      <c r="B17" s="26" t="s">
        <v>19</v>
      </c>
      <c r="C17" s="20" t="s">
        <v>20</v>
      </c>
      <c r="D17" s="20" t="s">
        <v>35</v>
      </c>
      <c r="E17" s="20">
        <v>2</v>
      </c>
      <c r="F17" s="20">
        <v>7</v>
      </c>
      <c r="G17" s="18" t="b">
        <v>1</v>
      </c>
      <c r="H17" s="57" t="s">
        <v>249</v>
      </c>
      <c r="I17" s="21">
        <v>44483</v>
      </c>
      <c r="J17" s="55">
        <v>0.4375</v>
      </c>
      <c r="K17" s="80">
        <v>7</v>
      </c>
      <c r="L17" s="70">
        <v>110</v>
      </c>
      <c r="M17" s="86" t="str">
        <f>IF(Tableau1[[#This Row],[genotype]]="Wendy","Wen","Sto")&amp;"_"&amp;Tableau1[[#This Row],[water_condition]]&amp;"_"&amp;Tableau1[[#This Row],[heat_condition]]</f>
        <v>Sto_WW_OT</v>
      </c>
      <c r="N17" s="71"/>
      <c r="O17" s="16" t="s">
        <v>318</v>
      </c>
      <c r="P17" s="77"/>
    </row>
    <row r="18" spans="1:16" ht="21" hidden="1" customHeight="1" x14ac:dyDescent="0.5">
      <c r="A18" s="20" t="s">
        <v>21</v>
      </c>
      <c r="B18" s="26" t="s">
        <v>19</v>
      </c>
      <c r="C18" s="20" t="s">
        <v>39</v>
      </c>
      <c r="D18" s="20" t="s">
        <v>35</v>
      </c>
      <c r="E18" s="20">
        <v>2</v>
      </c>
      <c r="F18" s="20"/>
      <c r="G18" s="18" t="b">
        <v>0</v>
      </c>
      <c r="H18" s="57"/>
      <c r="I18" s="21">
        <v>44483</v>
      </c>
      <c r="J18" s="55">
        <v>0.72916666666666663</v>
      </c>
      <c r="K18" s="80"/>
      <c r="L18" s="70">
        <v>57</v>
      </c>
      <c r="M18" s="70" t="str">
        <f>IF(Tableau1[[#This Row],[genotype]]="Wendy","Wen","Sto")&amp;"_"&amp;Tableau1[[#This Row],[water_condition]]&amp;"_"&amp;Tableau1[[#This Row],[heat_condition]]</f>
        <v>Sto_WS_OT</v>
      </c>
      <c r="N18" s="71"/>
      <c r="O18" s="16" t="s">
        <v>272</v>
      </c>
      <c r="P18" s="77" t="s">
        <v>235</v>
      </c>
    </row>
    <row r="19" spans="1:16" ht="21" hidden="1" customHeight="1" x14ac:dyDescent="0.5">
      <c r="A19" s="16" t="s">
        <v>21</v>
      </c>
      <c r="B19" s="27" t="s">
        <v>19</v>
      </c>
      <c r="C19" s="16" t="s">
        <v>39</v>
      </c>
      <c r="D19" s="16" t="s">
        <v>35</v>
      </c>
      <c r="E19" s="16">
        <v>2</v>
      </c>
      <c r="F19" s="16"/>
      <c r="G19" s="18" t="b">
        <v>1</v>
      </c>
      <c r="H19" s="58"/>
      <c r="I19" s="17">
        <v>44483</v>
      </c>
      <c r="J19" s="56">
        <v>0.72916666666666663</v>
      </c>
      <c r="K19" s="79"/>
      <c r="L19" s="68">
        <v>58</v>
      </c>
      <c r="M19" s="68" t="str">
        <f>IF(Tableau1[[#This Row],[genotype]]="Wendy","Wen","Sto")&amp;"_"&amp;Tableau1[[#This Row],[water_condition]]&amp;"_"&amp;Tableau1[[#This Row],[heat_condition]]</f>
        <v>Sto_WS_OT</v>
      </c>
      <c r="N19" s="69"/>
      <c r="O19" s="16" t="s">
        <v>272</v>
      </c>
      <c r="P19" s="76" t="s">
        <v>235</v>
      </c>
    </row>
    <row r="20" spans="1:16" ht="21" customHeight="1" x14ac:dyDescent="0.5">
      <c r="A20" s="20" t="s">
        <v>21</v>
      </c>
      <c r="B20" s="26" t="s">
        <v>19</v>
      </c>
      <c r="C20" s="20" t="s">
        <v>20</v>
      </c>
      <c r="D20" s="20" t="s">
        <v>35</v>
      </c>
      <c r="E20" s="20">
        <v>2</v>
      </c>
      <c r="F20" s="20">
        <v>3</v>
      </c>
      <c r="G20" s="18" t="b">
        <v>1</v>
      </c>
      <c r="H20" s="57" t="s">
        <v>249</v>
      </c>
      <c r="I20" s="21">
        <v>44481</v>
      </c>
      <c r="J20" s="55">
        <v>0.47222222222222227</v>
      </c>
      <c r="K20" s="80">
        <v>8</v>
      </c>
      <c r="L20" s="70">
        <v>40</v>
      </c>
      <c r="M20" s="86" t="str">
        <f>IF(Tableau1[[#This Row],[genotype]]="Wendy","Wen","Sto")&amp;"_"&amp;Tableau1[[#This Row],[water_condition]]&amp;"_"&amp;Tableau1[[#This Row],[heat_condition]]</f>
        <v>Sto_WW_OT</v>
      </c>
      <c r="N20" s="71"/>
      <c r="O20" s="16" t="s">
        <v>318</v>
      </c>
      <c r="P20" s="77"/>
    </row>
    <row r="21" spans="1:16" ht="21" hidden="1" customHeight="1" x14ac:dyDescent="0.5">
      <c r="A21" s="16" t="s">
        <v>25</v>
      </c>
      <c r="B21" s="27" t="s">
        <v>19</v>
      </c>
      <c r="C21" s="16" t="s">
        <v>20</v>
      </c>
      <c r="D21" s="16" t="s">
        <v>35</v>
      </c>
      <c r="E21" s="16">
        <v>2</v>
      </c>
      <c r="F21" s="16">
        <v>2</v>
      </c>
      <c r="G21" s="18" t="b">
        <v>0</v>
      </c>
      <c r="H21" s="58"/>
      <c r="I21" s="17">
        <v>44483</v>
      </c>
      <c r="J21" s="56">
        <v>0.72916666666666663</v>
      </c>
      <c r="K21" s="79"/>
      <c r="L21" s="68">
        <v>63</v>
      </c>
      <c r="M21" s="68" t="str">
        <f>IF(Tableau1[[#This Row],[genotype]]="Wendy","Wen","Sto")&amp;"_"&amp;Tableau1[[#This Row],[water_condition]]&amp;"_"&amp;Tableau1[[#This Row],[heat_condition]]</f>
        <v>Wen_WW_OT</v>
      </c>
      <c r="N21" s="69" t="s">
        <v>67</v>
      </c>
      <c r="O21" s="16" t="s">
        <v>272</v>
      </c>
      <c r="P21" s="76" t="s">
        <v>220</v>
      </c>
    </row>
    <row r="22" spans="1:16" ht="21" hidden="1" customHeight="1" x14ac:dyDescent="0.5">
      <c r="A22" s="20" t="s">
        <v>25</v>
      </c>
      <c r="B22" s="26" t="s">
        <v>19</v>
      </c>
      <c r="C22" s="20" t="s">
        <v>20</v>
      </c>
      <c r="D22" s="20" t="s">
        <v>35</v>
      </c>
      <c r="E22" s="20">
        <v>2</v>
      </c>
      <c r="F22" s="20">
        <v>4</v>
      </c>
      <c r="G22" s="18" t="b">
        <v>1</v>
      </c>
      <c r="H22" s="57"/>
      <c r="I22" s="21">
        <v>44482</v>
      </c>
      <c r="J22" s="55">
        <v>0.38541666666666669</v>
      </c>
      <c r="K22" s="80"/>
      <c r="L22" s="70">
        <v>68</v>
      </c>
      <c r="M22" s="70" t="str">
        <f>IF(Tableau1[[#This Row],[genotype]]="Wendy","Wen","Sto")&amp;"_"&amp;Tableau1[[#This Row],[water_condition]]&amp;"_"&amp;Tableau1[[#This Row],[heat_condition]]</f>
        <v>Wen_WW_OT</v>
      </c>
      <c r="N22" s="71"/>
      <c r="O22" s="16" t="s">
        <v>272</v>
      </c>
      <c r="P22" s="77" t="s">
        <v>211</v>
      </c>
    </row>
    <row r="23" spans="1:16" ht="21" customHeight="1" x14ac:dyDescent="0.5">
      <c r="A23" s="16" t="s">
        <v>21</v>
      </c>
      <c r="B23" s="27" t="s">
        <v>19</v>
      </c>
      <c r="C23" s="16" t="s">
        <v>20</v>
      </c>
      <c r="D23" s="16" t="s">
        <v>35</v>
      </c>
      <c r="E23" s="16">
        <v>2</v>
      </c>
      <c r="F23" s="16">
        <v>6</v>
      </c>
      <c r="G23" s="18" t="b">
        <v>1</v>
      </c>
      <c r="H23" s="58" t="s">
        <v>249</v>
      </c>
      <c r="I23" s="17">
        <v>44483</v>
      </c>
      <c r="J23" s="56">
        <v>0.34375</v>
      </c>
      <c r="K23" s="79">
        <v>8</v>
      </c>
      <c r="L23" s="68">
        <v>94</v>
      </c>
      <c r="M23" s="86" t="str">
        <f>IF(Tableau1[[#This Row],[genotype]]="Wendy","Wen","Sto")&amp;"_"&amp;Tableau1[[#This Row],[water_condition]]&amp;"_"&amp;Tableau1[[#This Row],[heat_condition]]</f>
        <v>Sto_WW_OT</v>
      </c>
      <c r="N23" s="69"/>
      <c r="O23" s="16" t="s">
        <v>318</v>
      </c>
      <c r="P23" s="76"/>
    </row>
    <row r="24" spans="1:16" ht="21" customHeight="1" x14ac:dyDescent="0.5">
      <c r="A24" s="16" t="s">
        <v>25</v>
      </c>
      <c r="B24" s="27" t="s">
        <v>19</v>
      </c>
      <c r="C24" s="16" t="s">
        <v>39</v>
      </c>
      <c r="D24" s="16" t="s">
        <v>35</v>
      </c>
      <c r="E24" s="16">
        <v>2</v>
      </c>
      <c r="F24" s="16">
        <v>4</v>
      </c>
      <c r="G24" s="18" t="b">
        <v>1</v>
      </c>
      <c r="H24" s="58" t="s">
        <v>249</v>
      </c>
      <c r="I24" s="17">
        <v>44482</v>
      </c>
      <c r="J24" s="56">
        <v>0.38541666666666669</v>
      </c>
      <c r="K24" s="79">
        <v>9</v>
      </c>
      <c r="L24" s="68">
        <v>72</v>
      </c>
      <c r="M24" s="86" t="str">
        <f>IF(Tableau1[[#This Row],[genotype]]="Wendy","Wen","Sto")&amp;"_"&amp;Tableau1[[#This Row],[water_condition]]&amp;"_"&amp;Tableau1[[#This Row],[heat_condition]]</f>
        <v>Wen_WS_OT</v>
      </c>
      <c r="N24" s="69"/>
      <c r="O24" s="16" t="s">
        <v>318</v>
      </c>
      <c r="P24" s="76"/>
    </row>
    <row r="25" spans="1:16" ht="21" hidden="1" customHeight="1" x14ac:dyDescent="0.5">
      <c r="A25" s="16" t="s">
        <v>21</v>
      </c>
      <c r="B25" s="27" t="s">
        <v>19</v>
      </c>
      <c r="C25" s="16" t="s">
        <v>20</v>
      </c>
      <c r="D25" s="16" t="s">
        <v>35</v>
      </c>
      <c r="E25" s="16">
        <v>2</v>
      </c>
      <c r="F25" s="16">
        <v>5</v>
      </c>
      <c r="G25" s="18" t="b">
        <v>1</v>
      </c>
      <c r="H25" s="58"/>
      <c r="I25" s="17">
        <v>44482</v>
      </c>
      <c r="J25" s="56">
        <v>0.51041666666666663</v>
      </c>
      <c r="K25" s="79"/>
      <c r="L25" s="68">
        <v>80</v>
      </c>
      <c r="M25" s="68" t="str">
        <f>IF(Tableau1[[#This Row],[genotype]]="Wendy","Wen","Sto")&amp;"_"&amp;Tableau1[[#This Row],[water_condition]]&amp;"_"&amp;Tableau1[[#This Row],[heat_condition]]</f>
        <v>Sto_WW_OT</v>
      </c>
      <c r="N25" s="69"/>
      <c r="O25" s="16" t="s">
        <v>272</v>
      </c>
      <c r="P25" s="76" t="s">
        <v>214</v>
      </c>
    </row>
    <row r="26" spans="1:16" ht="21" customHeight="1" x14ac:dyDescent="0.5">
      <c r="A26" s="16" t="s">
        <v>25</v>
      </c>
      <c r="B26" s="27" t="s">
        <v>19</v>
      </c>
      <c r="C26" s="16" t="s">
        <v>39</v>
      </c>
      <c r="D26" s="16" t="s">
        <v>35</v>
      </c>
      <c r="E26" s="16">
        <v>2</v>
      </c>
      <c r="F26" s="16">
        <v>5</v>
      </c>
      <c r="G26" s="18" t="b">
        <v>1</v>
      </c>
      <c r="H26" s="58" t="s">
        <v>249</v>
      </c>
      <c r="I26" s="17">
        <v>44482</v>
      </c>
      <c r="J26" s="56">
        <v>0.51041666666666663</v>
      </c>
      <c r="K26" s="79">
        <v>9</v>
      </c>
      <c r="L26" s="68">
        <v>88</v>
      </c>
      <c r="M26" s="86" t="str">
        <f>IF(Tableau1[[#This Row],[genotype]]="Wendy","Wen","Sto")&amp;"_"&amp;Tableau1[[#This Row],[water_condition]]&amp;"_"&amp;Tableau1[[#This Row],[heat_condition]]</f>
        <v>Wen_WS_OT</v>
      </c>
      <c r="N26" s="69"/>
      <c r="O26" s="16" t="s">
        <v>318</v>
      </c>
      <c r="P26" s="76"/>
    </row>
    <row r="27" spans="1:16" ht="21" customHeight="1" x14ac:dyDescent="0.5">
      <c r="A27" s="20" t="s">
        <v>25</v>
      </c>
      <c r="B27" s="26" t="s">
        <v>19</v>
      </c>
      <c r="C27" s="20" t="s">
        <v>39</v>
      </c>
      <c r="D27" s="20" t="s">
        <v>35</v>
      </c>
      <c r="E27" s="20">
        <v>2</v>
      </c>
      <c r="F27" s="20">
        <v>2</v>
      </c>
      <c r="G27" s="18" t="b">
        <v>1</v>
      </c>
      <c r="H27" s="57" t="s">
        <v>249</v>
      </c>
      <c r="I27" s="21">
        <v>44481</v>
      </c>
      <c r="J27" s="55">
        <v>0.47222222222222227</v>
      </c>
      <c r="K27" s="80">
        <v>10</v>
      </c>
      <c r="L27" s="70">
        <v>34</v>
      </c>
      <c r="M27" s="86" t="str">
        <f>IF(Tableau1[[#This Row],[genotype]]="Wendy","Wen","Sto")&amp;"_"&amp;Tableau1[[#This Row],[water_condition]]&amp;"_"&amp;Tableau1[[#This Row],[heat_condition]]</f>
        <v>Wen_WS_OT</v>
      </c>
      <c r="N27" s="71"/>
      <c r="O27" s="16" t="s">
        <v>318</v>
      </c>
      <c r="P27" s="77"/>
    </row>
    <row r="28" spans="1:16" ht="21" customHeight="1" x14ac:dyDescent="0.5">
      <c r="A28" s="20" t="s">
        <v>25</v>
      </c>
      <c r="B28" s="26" t="s">
        <v>19</v>
      </c>
      <c r="C28" s="20" t="s">
        <v>39</v>
      </c>
      <c r="D28" s="20" t="s">
        <v>35</v>
      </c>
      <c r="E28" s="20">
        <v>2</v>
      </c>
      <c r="F28" s="20">
        <v>7</v>
      </c>
      <c r="G28" s="18" t="b">
        <v>1</v>
      </c>
      <c r="H28" s="57" t="s">
        <v>249</v>
      </c>
      <c r="I28" s="21">
        <v>44483</v>
      </c>
      <c r="J28" s="55">
        <v>0.34375</v>
      </c>
      <c r="K28" s="80">
        <v>10</v>
      </c>
      <c r="L28" s="70">
        <v>104</v>
      </c>
      <c r="M28" s="86" t="str">
        <f>IF(Tableau1[[#This Row],[genotype]]="Wendy","Wen","Sto")&amp;"_"&amp;Tableau1[[#This Row],[water_condition]]&amp;"_"&amp;Tableau1[[#This Row],[heat_condition]]</f>
        <v>Wen_WS_OT</v>
      </c>
      <c r="N28" s="71"/>
      <c r="O28" s="16" t="s">
        <v>318</v>
      </c>
      <c r="P28" s="77"/>
    </row>
    <row r="29" spans="1:16" ht="21" customHeight="1" x14ac:dyDescent="0.5">
      <c r="A29" s="16" t="s">
        <v>25</v>
      </c>
      <c r="B29" s="27" t="s">
        <v>19</v>
      </c>
      <c r="C29" s="16" t="s">
        <v>39</v>
      </c>
      <c r="D29" s="16" t="s">
        <v>35</v>
      </c>
      <c r="E29" s="16">
        <v>2</v>
      </c>
      <c r="F29" s="16">
        <v>3</v>
      </c>
      <c r="G29" s="18" t="b">
        <v>1</v>
      </c>
      <c r="H29" s="58" t="s">
        <v>249</v>
      </c>
      <c r="I29" s="17">
        <v>44482</v>
      </c>
      <c r="J29" s="56">
        <v>0.38541666666666669</v>
      </c>
      <c r="K29" s="79">
        <v>11</v>
      </c>
      <c r="L29" s="68">
        <v>48</v>
      </c>
      <c r="M29" s="86" t="str">
        <f>IF(Tableau1[[#This Row],[genotype]]="Wendy","Wen","Sto")&amp;"_"&amp;Tableau1[[#This Row],[water_condition]]&amp;"_"&amp;Tableau1[[#This Row],[heat_condition]]</f>
        <v>Wen_WS_OT</v>
      </c>
      <c r="N29" s="69"/>
      <c r="O29" s="16" t="s">
        <v>318</v>
      </c>
      <c r="P29" s="76"/>
    </row>
    <row r="30" spans="1:16" ht="21" hidden="1" customHeight="1" x14ac:dyDescent="0.5">
      <c r="A30" s="20" t="s">
        <v>25</v>
      </c>
      <c r="B30" s="26" t="s">
        <v>19</v>
      </c>
      <c r="C30" s="20" t="s">
        <v>20</v>
      </c>
      <c r="D30" s="20" t="s">
        <v>35</v>
      </c>
      <c r="E30" s="20">
        <v>2</v>
      </c>
      <c r="F30" s="20">
        <v>6</v>
      </c>
      <c r="G30" s="18" t="b">
        <v>1</v>
      </c>
      <c r="H30" s="57"/>
      <c r="I30" s="21">
        <v>44483</v>
      </c>
      <c r="J30" s="55">
        <v>0.72916666666666663</v>
      </c>
      <c r="K30" s="80"/>
      <c r="L30" s="70">
        <v>98</v>
      </c>
      <c r="M30" s="70" t="str">
        <f>IF(Tableau1[[#This Row],[genotype]]="Wendy","Wen","Sto")&amp;"_"&amp;Tableau1[[#This Row],[water_condition]]&amp;"_"&amp;Tableau1[[#This Row],[heat_condition]]</f>
        <v>Wen_WW_OT</v>
      </c>
      <c r="N30" s="71" t="s">
        <v>89</v>
      </c>
      <c r="O30" s="16" t="s">
        <v>272</v>
      </c>
      <c r="P30" s="77" t="s">
        <v>220</v>
      </c>
    </row>
    <row r="31" spans="1:16" ht="21" customHeight="1" x14ac:dyDescent="0.5">
      <c r="A31" s="16" t="s">
        <v>25</v>
      </c>
      <c r="B31" s="27" t="s">
        <v>19</v>
      </c>
      <c r="C31" s="16" t="s">
        <v>39</v>
      </c>
      <c r="D31" s="16" t="s">
        <v>35</v>
      </c>
      <c r="E31" s="16">
        <v>2</v>
      </c>
      <c r="F31" s="16">
        <v>6</v>
      </c>
      <c r="G31" s="18" t="b">
        <v>1</v>
      </c>
      <c r="H31" s="58" t="s">
        <v>249</v>
      </c>
      <c r="I31" s="17">
        <v>44483</v>
      </c>
      <c r="J31" s="56">
        <v>0.34375</v>
      </c>
      <c r="K31" s="79">
        <v>11</v>
      </c>
      <c r="L31" s="68">
        <v>100</v>
      </c>
      <c r="M31" s="86" t="str">
        <f>IF(Tableau1[[#This Row],[genotype]]="Wendy","Wen","Sto")&amp;"_"&amp;Tableau1[[#This Row],[water_condition]]&amp;"_"&amp;Tableau1[[#This Row],[heat_condition]]</f>
        <v>Wen_WS_OT</v>
      </c>
      <c r="N31" s="69"/>
      <c r="O31" s="16" t="s">
        <v>318</v>
      </c>
      <c r="P31" s="76"/>
    </row>
    <row r="32" spans="1:16" ht="21" customHeight="1" x14ac:dyDescent="0.5">
      <c r="A32" s="20" t="s">
        <v>25</v>
      </c>
      <c r="B32" s="26" t="s">
        <v>19</v>
      </c>
      <c r="C32" s="20" t="s">
        <v>39</v>
      </c>
      <c r="D32" s="20" t="s">
        <v>35</v>
      </c>
      <c r="E32" s="20">
        <v>2</v>
      </c>
      <c r="F32" s="20">
        <v>1</v>
      </c>
      <c r="G32" s="18" t="b">
        <v>1</v>
      </c>
      <c r="H32" s="57" t="s">
        <v>249</v>
      </c>
      <c r="I32" s="21">
        <v>44482</v>
      </c>
      <c r="J32" s="55">
        <v>0.38541666666666669</v>
      </c>
      <c r="K32" s="80">
        <v>12</v>
      </c>
      <c r="L32" s="70">
        <v>24</v>
      </c>
      <c r="M32" s="86" t="str">
        <f>IF(Tableau1[[#This Row],[genotype]]="Wendy","Wen","Sto")&amp;"_"&amp;Tableau1[[#This Row],[water_condition]]&amp;"_"&amp;Tableau1[[#This Row],[heat_condition]]</f>
        <v>Wen_WS_OT</v>
      </c>
      <c r="N32" s="71"/>
      <c r="O32" s="16" t="s">
        <v>318</v>
      </c>
      <c r="P32" s="77"/>
    </row>
    <row r="33" spans="1:16" ht="21" customHeight="1" x14ac:dyDescent="0.5">
      <c r="A33" s="20" t="s">
        <v>25</v>
      </c>
      <c r="B33" s="26" t="s">
        <v>19</v>
      </c>
      <c r="C33" s="20" t="s">
        <v>39</v>
      </c>
      <c r="D33" s="20" t="s">
        <v>35</v>
      </c>
      <c r="E33" s="20">
        <v>2</v>
      </c>
      <c r="F33" s="20">
        <v>8</v>
      </c>
      <c r="G33" s="18" t="b">
        <v>1</v>
      </c>
      <c r="H33" s="57" t="s">
        <v>249</v>
      </c>
      <c r="I33" s="21">
        <v>44483</v>
      </c>
      <c r="J33" s="55">
        <v>0.4375</v>
      </c>
      <c r="K33" s="80">
        <v>12</v>
      </c>
      <c r="L33" s="70">
        <v>116</v>
      </c>
      <c r="M33" s="86" t="str">
        <f>IF(Tableau1[[#This Row],[genotype]]="Wendy","Wen","Sto")&amp;"_"&amp;Tableau1[[#This Row],[water_condition]]&amp;"_"&amp;Tableau1[[#This Row],[heat_condition]]</f>
        <v>Wen_WS_OT</v>
      </c>
      <c r="N33" s="71"/>
      <c r="O33" s="16" t="s">
        <v>318</v>
      </c>
      <c r="P33" s="77"/>
    </row>
    <row r="34" spans="1:16" ht="21" customHeight="1" x14ac:dyDescent="0.5">
      <c r="A34" s="16" t="s">
        <v>21</v>
      </c>
      <c r="B34" s="27" t="s">
        <v>19</v>
      </c>
      <c r="C34" s="16" t="s">
        <v>39</v>
      </c>
      <c r="D34" s="16" t="s">
        <v>35</v>
      </c>
      <c r="E34" s="16">
        <v>2</v>
      </c>
      <c r="F34" s="16">
        <v>1</v>
      </c>
      <c r="G34" s="18" t="b">
        <v>1</v>
      </c>
      <c r="H34" s="58" t="s">
        <v>249</v>
      </c>
      <c r="I34" s="17">
        <v>44481</v>
      </c>
      <c r="J34" s="56">
        <v>0.47222222222222227</v>
      </c>
      <c r="K34" s="79">
        <v>13</v>
      </c>
      <c r="L34" s="68">
        <v>26</v>
      </c>
      <c r="M34" s="86" t="str">
        <f>IF(Tableau1[[#This Row],[genotype]]="Wendy","Wen","Sto")&amp;"_"&amp;Tableau1[[#This Row],[water_condition]]&amp;"_"&amp;Tableau1[[#This Row],[heat_condition]]</f>
        <v>Sto_WS_OT</v>
      </c>
      <c r="N34" s="69"/>
      <c r="O34" s="16" t="s">
        <v>318</v>
      </c>
      <c r="P34" s="76"/>
    </row>
    <row r="35" spans="1:16" ht="21" customHeight="1" x14ac:dyDescent="0.5">
      <c r="A35" s="16" t="s">
        <v>21</v>
      </c>
      <c r="B35" s="27" t="s">
        <v>19</v>
      </c>
      <c r="C35" s="16" t="s">
        <v>39</v>
      </c>
      <c r="D35" s="16" t="s">
        <v>35</v>
      </c>
      <c r="E35" s="16">
        <v>2</v>
      </c>
      <c r="F35" s="16">
        <v>8</v>
      </c>
      <c r="G35" s="18" t="b">
        <v>1</v>
      </c>
      <c r="H35" s="58" t="s">
        <v>249</v>
      </c>
      <c r="I35" s="17">
        <v>44483</v>
      </c>
      <c r="J35" s="56">
        <v>0.42708333333333331</v>
      </c>
      <c r="K35" s="79">
        <v>13</v>
      </c>
      <c r="L35" s="68">
        <v>120</v>
      </c>
      <c r="M35" s="86" t="str">
        <f>IF(Tableau1[[#This Row],[genotype]]="Wendy","Wen","Sto")&amp;"_"&amp;Tableau1[[#This Row],[water_condition]]&amp;"_"&amp;Tableau1[[#This Row],[heat_condition]]</f>
        <v>Sto_WS_OT</v>
      </c>
      <c r="N35" s="69"/>
      <c r="O35" s="16" t="s">
        <v>318</v>
      </c>
      <c r="P35" s="76"/>
    </row>
    <row r="36" spans="1:16" ht="21" customHeight="1" x14ac:dyDescent="0.5">
      <c r="A36" s="16" t="s">
        <v>21</v>
      </c>
      <c r="B36" s="27" t="s">
        <v>19</v>
      </c>
      <c r="C36" s="16" t="s">
        <v>39</v>
      </c>
      <c r="D36" s="16" t="s">
        <v>35</v>
      </c>
      <c r="E36" s="16">
        <v>2</v>
      </c>
      <c r="F36" s="16">
        <v>2</v>
      </c>
      <c r="G36" s="18" t="b">
        <v>1</v>
      </c>
      <c r="H36" s="58" t="s">
        <v>249</v>
      </c>
      <c r="I36" s="17">
        <v>44481</v>
      </c>
      <c r="J36" s="56">
        <v>0.47222222222222227</v>
      </c>
      <c r="K36" s="79">
        <v>14</v>
      </c>
      <c r="L36" s="68">
        <v>38</v>
      </c>
      <c r="M36" s="86" t="str">
        <f>IF(Tableau1[[#This Row],[genotype]]="Wendy","Wen","Sto")&amp;"_"&amp;Tableau1[[#This Row],[water_condition]]&amp;"_"&amp;Tableau1[[#This Row],[heat_condition]]</f>
        <v>Sto_WS_OT</v>
      </c>
      <c r="N36" s="69"/>
      <c r="O36" s="16" t="s">
        <v>318</v>
      </c>
      <c r="P36" s="76"/>
    </row>
    <row r="37" spans="1:16" ht="21" customHeight="1" x14ac:dyDescent="0.5">
      <c r="A37" s="16" t="s">
        <v>21</v>
      </c>
      <c r="B37" s="27" t="s">
        <v>19</v>
      </c>
      <c r="C37" s="16" t="s">
        <v>39</v>
      </c>
      <c r="D37" s="16" t="s">
        <v>35</v>
      </c>
      <c r="E37" s="16">
        <v>2</v>
      </c>
      <c r="F37" s="16">
        <v>7</v>
      </c>
      <c r="G37" s="18" t="b">
        <v>1</v>
      </c>
      <c r="H37" s="58" t="s">
        <v>249</v>
      </c>
      <c r="I37" s="17">
        <v>44483</v>
      </c>
      <c r="J37" s="56">
        <v>0.34375</v>
      </c>
      <c r="K37" s="79">
        <v>14</v>
      </c>
      <c r="L37" s="68">
        <v>106</v>
      </c>
      <c r="M37" s="86" t="str">
        <f>IF(Tableau1[[#This Row],[genotype]]="Wendy","Wen","Sto")&amp;"_"&amp;Tableau1[[#This Row],[water_condition]]&amp;"_"&amp;Tableau1[[#This Row],[heat_condition]]</f>
        <v>Sto_WS_OT</v>
      </c>
      <c r="N37" s="69"/>
      <c r="O37" s="16" t="s">
        <v>318</v>
      </c>
      <c r="P37" s="76"/>
    </row>
    <row r="38" spans="1:16" ht="21" customHeight="1" x14ac:dyDescent="0.5">
      <c r="A38" s="16" t="s">
        <v>21</v>
      </c>
      <c r="B38" s="27" t="s">
        <v>19</v>
      </c>
      <c r="C38" s="16" t="s">
        <v>39</v>
      </c>
      <c r="D38" s="16" t="s">
        <v>35</v>
      </c>
      <c r="E38" s="16">
        <v>2</v>
      </c>
      <c r="F38" s="16">
        <v>3</v>
      </c>
      <c r="G38" s="18" t="b">
        <v>1</v>
      </c>
      <c r="H38" s="58" t="s">
        <v>249</v>
      </c>
      <c r="I38" s="17">
        <v>44481</v>
      </c>
      <c r="J38" s="56">
        <v>0.47222222222222227</v>
      </c>
      <c r="K38" s="79">
        <v>15</v>
      </c>
      <c r="L38" s="68">
        <v>42</v>
      </c>
      <c r="M38" s="86" t="str">
        <f>IF(Tableau1[[#This Row],[genotype]]="Wendy","Wen","Sto")&amp;"_"&amp;Tableau1[[#This Row],[water_condition]]&amp;"_"&amp;Tableau1[[#This Row],[heat_condition]]</f>
        <v>Sto_WS_OT</v>
      </c>
      <c r="N38" s="69"/>
      <c r="O38" s="16" t="s">
        <v>318</v>
      </c>
      <c r="P38" s="76"/>
    </row>
    <row r="39" spans="1:16" ht="21" customHeight="1" x14ac:dyDescent="0.5">
      <c r="A39" s="20" t="s">
        <v>21</v>
      </c>
      <c r="B39" s="26" t="s">
        <v>19</v>
      </c>
      <c r="C39" s="20" t="s">
        <v>39</v>
      </c>
      <c r="D39" s="20" t="s">
        <v>35</v>
      </c>
      <c r="E39" s="20">
        <v>2</v>
      </c>
      <c r="F39" s="20">
        <v>6</v>
      </c>
      <c r="G39" s="18" t="b">
        <v>1</v>
      </c>
      <c r="H39" s="57" t="s">
        <v>249</v>
      </c>
      <c r="I39" s="21">
        <v>44482</v>
      </c>
      <c r="J39" s="55">
        <v>0.51041666666666663</v>
      </c>
      <c r="K39" s="80">
        <v>15</v>
      </c>
      <c r="L39" s="70">
        <v>92</v>
      </c>
      <c r="M39" s="86" t="str">
        <f>IF(Tableau1[[#This Row],[genotype]]="Wendy","Wen","Sto")&amp;"_"&amp;Tableau1[[#This Row],[water_condition]]&amp;"_"&amp;Tableau1[[#This Row],[heat_condition]]</f>
        <v>Sto_WS_OT</v>
      </c>
      <c r="N39" s="71"/>
      <c r="O39" s="16" t="s">
        <v>318</v>
      </c>
      <c r="P39" s="77"/>
    </row>
    <row r="40" spans="1:16" ht="21" hidden="1" customHeight="1" x14ac:dyDescent="0.5">
      <c r="A40" s="20" t="s">
        <v>21</v>
      </c>
      <c r="B40" s="26" t="s">
        <v>19</v>
      </c>
      <c r="C40" s="20" t="s">
        <v>20</v>
      </c>
      <c r="D40" s="20" t="s">
        <v>35</v>
      </c>
      <c r="E40" s="20">
        <v>2</v>
      </c>
      <c r="F40" s="20">
        <v>5</v>
      </c>
      <c r="G40" s="18" t="b">
        <v>0</v>
      </c>
      <c r="H40" s="57"/>
      <c r="I40" s="21">
        <v>44483</v>
      </c>
      <c r="J40" s="55">
        <v>0.72916666666666663</v>
      </c>
      <c r="K40" s="80"/>
      <c r="L40" s="70">
        <v>133</v>
      </c>
      <c r="M40" s="70" t="str">
        <f>IF(Tableau1[[#This Row],[genotype]]="Wendy","Wen","Sto")&amp;"_"&amp;Tableau1[[#This Row],[water_condition]]&amp;"_"&amp;Tableau1[[#This Row],[heat_condition]]</f>
        <v>Sto_WW_OT</v>
      </c>
      <c r="N40" s="71" t="s">
        <v>110</v>
      </c>
      <c r="O40" s="16" t="s">
        <v>272</v>
      </c>
      <c r="P40" s="77" t="s">
        <v>220</v>
      </c>
    </row>
    <row r="41" spans="1:16" ht="21" customHeight="1" x14ac:dyDescent="0.5">
      <c r="A41" s="20" t="s">
        <v>21</v>
      </c>
      <c r="B41" s="26" t="s">
        <v>19</v>
      </c>
      <c r="C41" s="20" t="s">
        <v>39</v>
      </c>
      <c r="D41" s="20" t="s">
        <v>35</v>
      </c>
      <c r="E41" s="20">
        <v>2</v>
      </c>
      <c r="F41" s="20">
        <v>4</v>
      </c>
      <c r="G41" s="18" t="b">
        <v>1</v>
      </c>
      <c r="H41" s="57" t="s">
        <v>249</v>
      </c>
      <c r="I41" s="21">
        <v>44481</v>
      </c>
      <c r="J41" s="55">
        <v>0.34375</v>
      </c>
      <c r="K41" s="80">
        <v>16</v>
      </c>
      <c r="L41" s="70">
        <v>62</v>
      </c>
      <c r="M41" s="86" t="str">
        <f>IF(Tableau1[[#This Row],[genotype]]="Wendy","Wen","Sto")&amp;"_"&amp;Tableau1[[#This Row],[water_condition]]&amp;"_"&amp;Tableau1[[#This Row],[heat_condition]]</f>
        <v>Sto_WS_OT</v>
      </c>
      <c r="N41" s="71"/>
      <c r="O41" s="16" t="s">
        <v>318</v>
      </c>
      <c r="P41" s="77"/>
    </row>
    <row r="42" spans="1:16" ht="21" customHeight="1" x14ac:dyDescent="0.5">
      <c r="A42" s="20" t="s">
        <v>21</v>
      </c>
      <c r="B42" s="26" t="s">
        <v>19</v>
      </c>
      <c r="C42" s="20" t="s">
        <v>39</v>
      </c>
      <c r="D42" s="20" t="s">
        <v>35</v>
      </c>
      <c r="E42" s="20">
        <v>2</v>
      </c>
      <c r="F42" s="20">
        <v>5</v>
      </c>
      <c r="G42" s="18" t="b">
        <v>1</v>
      </c>
      <c r="H42" s="57" t="s">
        <v>249</v>
      </c>
      <c r="I42" s="21">
        <v>44482</v>
      </c>
      <c r="J42" s="55">
        <v>0.51041666666666663</v>
      </c>
      <c r="K42" s="80">
        <v>16</v>
      </c>
      <c r="L42" s="70">
        <v>76</v>
      </c>
      <c r="M42" s="86" t="str">
        <f>IF(Tableau1[[#This Row],[genotype]]="Wendy","Wen","Sto")&amp;"_"&amp;Tableau1[[#This Row],[water_condition]]&amp;"_"&amp;Tableau1[[#This Row],[heat_condition]]</f>
        <v>Sto_WS_OT</v>
      </c>
      <c r="N42" s="71"/>
      <c r="O42" s="16" t="s">
        <v>318</v>
      </c>
      <c r="P42" s="77"/>
    </row>
    <row r="43" spans="1:16" ht="21" customHeight="1" x14ac:dyDescent="0.5">
      <c r="A43" s="20" t="s">
        <v>25</v>
      </c>
      <c r="B43" s="26" t="s">
        <v>121</v>
      </c>
      <c r="C43" s="20" t="s">
        <v>20</v>
      </c>
      <c r="D43" s="20" t="s">
        <v>35</v>
      </c>
      <c r="E43" s="20">
        <v>2</v>
      </c>
      <c r="F43" s="20">
        <v>1</v>
      </c>
      <c r="G43" s="18" t="b">
        <v>1</v>
      </c>
      <c r="H43" s="57" t="s">
        <v>249</v>
      </c>
      <c r="I43" s="21">
        <v>44481</v>
      </c>
      <c r="J43" s="55">
        <v>0.38541666666666669</v>
      </c>
      <c r="K43" s="80">
        <v>17</v>
      </c>
      <c r="L43" s="70">
        <v>1020</v>
      </c>
      <c r="M43" s="86" t="str">
        <f>IF(Tableau1[[#This Row],[genotype]]="Wendy","Wen","Sto")&amp;"_"&amp;Tableau1[[#This Row],[water_condition]]&amp;"_"&amp;Tableau1[[#This Row],[heat_condition]]</f>
        <v>Wen_WW_HS</v>
      </c>
      <c r="N43" s="71"/>
      <c r="O43" s="16" t="s">
        <v>318</v>
      </c>
      <c r="P43" s="77"/>
    </row>
    <row r="44" spans="1:16" ht="21" customHeight="1" x14ac:dyDescent="0.5">
      <c r="A44" s="20" t="s">
        <v>25</v>
      </c>
      <c r="B44" s="26" t="s">
        <v>121</v>
      </c>
      <c r="C44" s="20" t="s">
        <v>20</v>
      </c>
      <c r="D44" s="20" t="s">
        <v>35</v>
      </c>
      <c r="E44" s="20">
        <v>2</v>
      </c>
      <c r="F44" s="20">
        <v>8</v>
      </c>
      <c r="G44" s="18" t="b">
        <v>1</v>
      </c>
      <c r="H44" s="57" t="s">
        <v>249</v>
      </c>
      <c r="I44" s="21">
        <v>44483</v>
      </c>
      <c r="J44" s="55">
        <v>0.5</v>
      </c>
      <c r="K44" s="80">
        <v>17</v>
      </c>
      <c r="L44" s="70">
        <v>1132</v>
      </c>
      <c r="M44" s="86" t="str">
        <f>IF(Tableau1[[#This Row],[genotype]]="Wendy","Wen","Sto")&amp;"_"&amp;Tableau1[[#This Row],[water_condition]]&amp;"_"&amp;Tableau1[[#This Row],[heat_condition]]</f>
        <v>Wen_WW_HS</v>
      </c>
      <c r="N44" s="71"/>
      <c r="O44" s="16" t="s">
        <v>318</v>
      </c>
      <c r="P44" s="77" t="s">
        <v>244</v>
      </c>
    </row>
    <row r="45" spans="1:16" ht="21" customHeight="1" x14ac:dyDescent="0.5">
      <c r="A45" s="20" t="s">
        <v>25</v>
      </c>
      <c r="B45" s="26" t="s">
        <v>121</v>
      </c>
      <c r="C45" s="20" t="s">
        <v>20</v>
      </c>
      <c r="D45" s="20" t="s">
        <v>35</v>
      </c>
      <c r="E45" s="20">
        <v>2</v>
      </c>
      <c r="F45" s="20">
        <v>2</v>
      </c>
      <c r="G45" s="18" t="b">
        <v>1</v>
      </c>
      <c r="H45" s="57" t="s">
        <v>249</v>
      </c>
      <c r="I45" s="21">
        <v>44481</v>
      </c>
      <c r="J45" s="55">
        <v>0.38541666666666669</v>
      </c>
      <c r="K45" s="80">
        <v>18</v>
      </c>
      <c r="L45" s="70">
        <v>1030</v>
      </c>
      <c r="M45" s="86" t="str">
        <f>IF(Tableau1[[#This Row],[genotype]]="Wendy","Wen","Sto")&amp;"_"&amp;Tableau1[[#This Row],[water_condition]]&amp;"_"&amp;Tableau1[[#This Row],[heat_condition]]</f>
        <v>Wen_WW_HS</v>
      </c>
      <c r="N45" s="71"/>
      <c r="O45" s="16" t="s">
        <v>318</v>
      </c>
      <c r="P45" s="77"/>
    </row>
    <row r="46" spans="1:16" ht="21" customHeight="1" x14ac:dyDescent="0.5">
      <c r="A46" s="20" t="s">
        <v>25</v>
      </c>
      <c r="B46" s="26" t="s">
        <v>121</v>
      </c>
      <c r="C46" s="20" t="s">
        <v>20</v>
      </c>
      <c r="D46" s="20" t="s">
        <v>35</v>
      </c>
      <c r="E46" s="20">
        <v>2</v>
      </c>
      <c r="F46" s="20">
        <v>7</v>
      </c>
      <c r="G46" s="18" t="b">
        <v>1</v>
      </c>
      <c r="H46" s="57" t="s">
        <v>249</v>
      </c>
      <c r="I46" s="21">
        <v>44483</v>
      </c>
      <c r="J46" s="55">
        <v>0.39583333333333331</v>
      </c>
      <c r="K46" s="80">
        <v>18</v>
      </c>
      <c r="L46" s="70">
        <v>1112</v>
      </c>
      <c r="M46" s="86" t="str">
        <f>IF(Tableau1[[#This Row],[genotype]]="Wendy","Wen","Sto")&amp;"_"&amp;Tableau1[[#This Row],[water_condition]]&amp;"_"&amp;Tableau1[[#This Row],[heat_condition]]</f>
        <v>Wen_WW_HS</v>
      </c>
      <c r="N46" s="71"/>
      <c r="O46" s="16" t="s">
        <v>318</v>
      </c>
      <c r="P46" s="77"/>
    </row>
    <row r="47" spans="1:16" ht="21" customHeight="1" x14ac:dyDescent="0.5">
      <c r="A47" s="20" t="s">
        <v>25</v>
      </c>
      <c r="B47" s="26" t="s">
        <v>121</v>
      </c>
      <c r="C47" s="20" t="s">
        <v>20</v>
      </c>
      <c r="D47" s="20" t="s">
        <v>35</v>
      </c>
      <c r="E47" s="20">
        <v>2</v>
      </c>
      <c r="F47" s="20">
        <v>3</v>
      </c>
      <c r="G47" s="18" t="b">
        <v>1</v>
      </c>
      <c r="H47" s="57" t="s">
        <v>249</v>
      </c>
      <c r="I47" s="21">
        <v>44481</v>
      </c>
      <c r="J47" s="55">
        <v>0.50694444444444442</v>
      </c>
      <c r="K47" s="80">
        <v>19</v>
      </c>
      <c r="L47" s="70">
        <v>1044</v>
      </c>
      <c r="M47" s="86" t="str">
        <f>IF(Tableau1[[#This Row],[genotype]]="Wendy","Wen","Sto")&amp;"_"&amp;Tableau1[[#This Row],[water_condition]]&amp;"_"&amp;Tableau1[[#This Row],[heat_condition]]</f>
        <v>Wen_WW_HS</v>
      </c>
      <c r="N47" s="71"/>
      <c r="O47" s="16" t="s">
        <v>318</v>
      </c>
      <c r="P47" s="77"/>
    </row>
    <row r="48" spans="1:16" ht="21" customHeight="1" x14ac:dyDescent="0.5">
      <c r="A48" s="16" t="s">
        <v>25</v>
      </c>
      <c r="B48" s="27" t="s">
        <v>121</v>
      </c>
      <c r="C48" s="16" t="s">
        <v>20</v>
      </c>
      <c r="D48" s="16" t="s">
        <v>35</v>
      </c>
      <c r="E48" s="16">
        <v>2</v>
      </c>
      <c r="F48" s="16"/>
      <c r="G48" s="18" t="b">
        <v>1</v>
      </c>
      <c r="H48" s="58" t="s">
        <v>249</v>
      </c>
      <c r="I48" s="17">
        <v>44482</v>
      </c>
      <c r="J48" s="56">
        <v>0.34375</v>
      </c>
      <c r="K48" s="79">
        <v>19</v>
      </c>
      <c r="L48" s="68">
        <v>1056</v>
      </c>
      <c r="M48" s="86" t="str">
        <f>IF(Tableau1[[#This Row],[genotype]]="Wendy","Wen","Sto")&amp;"_"&amp;Tableau1[[#This Row],[water_condition]]&amp;"_"&amp;Tableau1[[#This Row],[heat_condition]]</f>
        <v>Wen_WW_HS</v>
      </c>
      <c r="N48" s="69"/>
      <c r="O48" s="16" t="s">
        <v>318</v>
      </c>
      <c r="P48" s="76"/>
    </row>
    <row r="49" spans="1:16" ht="21" customHeight="1" x14ac:dyDescent="0.5">
      <c r="A49" s="16" t="s">
        <v>25</v>
      </c>
      <c r="B49" s="27" t="s">
        <v>121</v>
      </c>
      <c r="C49" s="16" t="s">
        <v>20</v>
      </c>
      <c r="D49" s="16" t="s">
        <v>35</v>
      </c>
      <c r="E49" s="16">
        <v>2</v>
      </c>
      <c r="F49" s="16">
        <v>5</v>
      </c>
      <c r="G49" s="18" t="b">
        <v>1</v>
      </c>
      <c r="H49" s="58" t="s">
        <v>249</v>
      </c>
      <c r="I49" s="17">
        <v>44482</v>
      </c>
      <c r="J49" s="56">
        <v>0.46875</v>
      </c>
      <c r="K49" s="79">
        <v>20</v>
      </c>
      <c r="L49" s="68">
        <v>1084</v>
      </c>
      <c r="M49" s="86" t="str">
        <f>IF(Tableau1[[#This Row],[genotype]]="Wendy","Wen","Sto")&amp;"_"&amp;Tableau1[[#This Row],[water_condition]]&amp;"_"&amp;Tableau1[[#This Row],[heat_condition]]</f>
        <v>Wen_WW_HS</v>
      </c>
      <c r="N49" s="69"/>
      <c r="O49" s="16" t="s">
        <v>318</v>
      </c>
      <c r="P49" s="76"/>
    </row>
    <row r="50" spans="1:16" ht="21" customHeight="1" x14ac:dyDescent="0.5">
      <c r="A50" s="16" t="s">
        <v>25</v>
      </c>
      <c r="B50" s="27" t="s">
        <v>121</v>
      </c>
      <c r="C50" s="16" t="s">
        <v>20</v>
      </c>
      <c r="D50" s="16" t="s">
        <v>35</v>
      </c>
      <c r="E50" s="16">
        <v>2</v>
      </c>
      <c r="F50" s="16">
        <v>6</v>
      </c>
      <c r="G50" s="18" t="b">
        <v>1</v>
      </c>
      <c r="H50" s="58" t="s">
        <v>249</v>
      </c>
      <c r="I50" s="17">
        <v>44483</v>
      </c>
      <c r="J50" s="56">
        <v>0.39583333333333331</v>
      </c>
      <c r="K50" s="79">
        <v>20</v>
      </c>
      <c r="L50" s="68">
        <v>1098</v>
      </c>
      <c r="M50" s="86" t="str">
        <f>IF(Tableau1[[#This Row],[genotype]]="Wendy","Wen","Sto")&amp;"_"&amp;Tableau1[[#This Row],[water_condition]]&amp;"_"&amp;Tableau1[[#This Row],[heat_condition]]</f>
        <v>Wen_WW_HS</v>
      </c>
      <c r="N50" s="69"/>
      <c r="O50" s="16" t="s">
        <v>318</v>
      </c>
      <c r="P50" s="76"/>
    </row>
    <row r="51" spans="1:16" ht="21" hidden="1" customHeight="1" x14ac:dyDescent="0.5">
      <c r="A51" s="16" t="s">
        <v>21</v>
      </c>
      <c r="B51" s="27" t="s">
        <v>121</v>
      </c>
      <c r="C51" s="16" t="s">
        <v>39</v>
      </c>
      <c r="D51" s="16" t="s">
        <v>35</v>
      </c>
      <c r="E51" s="16">
        <v>2</v>
      </c>
      <c r="F51" s="16">
        <v>3</v>
      </c>
      <c r="G51" s="18" t="b">
        <v>1</v>
      </c>
      <c r="H51" s="58" t="s">
        <v>268</v>
      </c>
      <c r="I51" s="17">
        <v>44483</v>
      </c>
      <c r="J51" s="56">
        <v>0.5</v>
      </c>
      <c r="K51" s="81"/>
      <c r="L51" s="68">
        <v>1042</v>
      </c>
      <c r="M51" s="68" t="str">
        <f>IF(Tableau1[[#This Row],[genotype]]="Wendy","Wen","Sto")&amp;"_"&amp;Tableau1[[#This Row],[water_condition]]&amp;"_"&amp;Tableau1[[#This Row],[heat_condition]]</f>
        <v>Sto_WS_HS</v>
      </c>
      <c r="N51" s="69" t="s">
        <v>146</v>
      </c>
      <c r="O51" s="16" t="s">
        <v>272</v>
      </c>
      <c r="P51" s="76"/>
    </row>
    <row r="52" spans="1:16" ht="21" customHeight="1" x14ac:dyDescent="0.5">
      <c r="A52" s="16" t="s">
        <v>21</v>
      </c>
      <c r="B52" s="27" t="s">
        <v>121</v>
      </c>
      <c r="C52" s="16" t="s">
        <v>20</v>
      </c>
      <c r="D52" s="16" t="s">
        <v>35</v>
      </c>
      <c r="E52" s="16">
        <v>2</v>
      </c>
      <c r="F52" s="16">
        <v>1</v>
      </c>
      <c r="G52" s="18" t="b">
        <v>1</v>
      </c>
      <c r="H52" s="58" t="s">
        <v>249</v>
      </c>
      <c r="I52" s="17">
        <v>44481</v>
      </c>
      <c r="J52" s="56">
        <v>0.38541666666666669</v>
      </c>
      <c r="K52" s="79">
        <v>21</v>
      </c>
      <c r="L52" s="68">
        <v>1018</v>
      </c>
      <c r="M52" s="86" t="str">
        <f>IF(Tableau1[[#This Row],[genotype]]="Wendy","Wen","Sto")&amp;"_"&amp;Tableau1[[#This Row],[water_condition]]&amp;"_"&amp;Tableau1[[#This Row],[heat_condition]]</f>
        <v>Sto_WW_HS</v>
      </c>
      <c r="N52" s="69"/>
      <c r="O52" s="16" t="s">
        <v>318</v>
      </c>
      <c r="P52" s="76"/>
    </row>
    <row r="53" spans="1:16" ht="21" customHeight="1" x14ac:dyDescent="0.5">
      <c r="A53" s="16" t="s">
        <v>21</v>
      </c>
      <c r="B53" s="27" t="s">
        <v>121</v>
      </c>
      <c r="C53" s="16" t="s">
        <v>20</v>
      </c>
      <c r="D53" s="16" t="s">
        <v>35</v>
      </c>
      <c r="E53" s="16">
        <v>2</v>
      </c>
      <c r="F53" s="16">
        <v>2</v>
      </c>
      <c r="G53" s="18" t="b">
        <v>1</v>
      </c>
      <c r="H53" s="58" t="s">
        <v>249</v>
      </c>
      <c r="I53" s="17">
        <v>44481</v>
      </c>
      <c r="J53" s="56">
        <v>0.38541666666666669</v>
      </c>
      <c r="K53" s="79">
        <v>22</v>
      </c>
      <c r="L53" s="68">
        <v>1028</v>
      </c>
      <c r="M53" s="86" t="str">
        <f>IF(Tableau1[[#This Row],[genotype]]="Wendy","Wen","Sto")&amp;"_"&amp;Tableau1[[#This Row],[water_condition]]&amp;"_"&amp;Tableau1[[#This Row],[heat_condition]]</f>
        <v>Sto_WW_HS</v>
      </c>
      <c r="N53" s="69"/>
      <c r="O53" s="16" t="s">
        <v>318</v>
      </c>
      <c r="P53" s="76"/>
    </row>
    <row r="54" spans="1:16" ht="21" customHeight="1" x14ac:dyDescent="0.5">
      <c r="A54" s="20" t="s">
        <v>21</v>
      </c>
      <c r="B54" s="26" t="s">
        <v>121</v>
      </c>
      <c r="C54" s="20" t="s">
        <v>20</v>
      </c>
      <c r="D54" s="20" t="s">
        <v>35</v>
      </c>
      <c r="E54" s="20">
        <v>2</v>
      </c>
      <c r="F54" s="20">
        <v>6</v>
      </c>
      <c r="G54" s="18" t="b">
        <v>1</v>
      </c>
      <c r="H54" s="57" t="s">
        <v>249</v>
      </c>
      <c r="I54" s="21">
        <v>44482</v>
      </c>
      <c r="J54" s="55">
        <v>0.46875</v>
      </c>
      <c r="K54" s="80">
        <v>22</v>
      </c>
      <c r="L54" s="70">
        <v>1094</v>
      </c>
      <c r="M54" s="86" t="str">
        <f>IF(Tableau1[[#This Row],[genotype]]="Wendy","Wen","Sto")&amp;"_"&amp;Tableau1[[#This Row],[water_condition]]&amp;"_"&amp;Tableau1[[#This Row],[heat_condition]]</f>
        <v>Sto_WW_HS</v>
      </c>
      <c r="N54" s="71"/>
      <c r="O54" s="16" t="s">
        <v>318</v>
      </c>
      <c r="P54" s="77"/>
    </row>
    <row r="55" spans="1:16" ht="21" customHeight="1" x14ac:dyDescent="0.5">
      <c r="A55" s="20" t="s">
        <v>21</v>
      </c>
      <c r="B55" s="26" t="s">
        <v>121</v>
      </c>
      <c r="C55" s="20" t="s">
        <v>20</v>
      </c>
      <c r="D55" s="20" t="s">
        <v>35</v>
      </c>
      <c r="E55" s="20">
        <v>2</v>
      </c>
      <c r="F55" s="20">
        <v>5</v>
      </c>
      <c r="G55" s="18" t="b">
        <v>1</v>
      </c>
      <c r="H55" s="57" t="s">
        <v>249</v>
      </c>
      <c r="I55" s="21">
        <v>44482</v>
      </c>
      <c r="J55" s="55">
        <v>0.46875</v>
      </c>
      <c r="K55" s="80">
        <v>23</v>
      </c>
      <c r="L55" s="70">
        <v>1080</v>
      </c>
      <c r="M55" s="86" t="str">
        <f>IF(Tableau1[[#This Row],[genotype]]="Wendy","Wen","Sto")&amp;"_"&amp;Tableau1[[#This Row],[water_condition]]&amp;"_"&amp;Tableau1[[#This Row],[heat_condition]]</f>
        <v>Sto_WW_HS</v>
      </c>
      <c r="N55" s="71"/>
      <c r="O55" s="16" t="s">
        <v>318</v>
      </c>
      <c r="P55" s="77"/>
    </row>
    <row r="56" spans="1:16" ht="21" customHeight="1" x14ac:dyDescent="0.5">
      <c r="A56" s="16" t="s">
        <v>21</v>
      </c>
      <c r="B56" s="27" t="s">
        <v>121</v>
      </c>
      <c r="C56" s="16" t="s">
        <v>20</v>
      </c>
      <c r="D56" s="16" t="s">
        <v>35</v>
      </c>
      <c r="E56" s="16">
        <v>2</v>
      </c>
      <c r="F56" s="16">
        <v>7</v>
      </c>
      <c r="G56" s="18" t="b">
        <v>1</v>
      </c>
      <c r="H56" s="58" t="s">
        <v>249</v>
      </c>
      <c r="I56" s="17">
        <v>44483</v>
      </c>
      <c r="J56" s="56">
        <v>0.39583333333333331</v>
      </c>
      <c r="K56" s="79">
        <v>23</v>
      </c>
      <c r="L56" s="68">
        <v>1110</v>
      </c>
      <c r="M56" s="86" t="str">
        <f>IF(Tableau1[[#This Row],[genotype]]="Wendy","Wen","Sto")&amp;"_"&amp;Tableau1[[#This Row],[water_condition]]&amp;"_"&amp;Tableau1[[#This Row],[heat_condition]]</f>
        <v>Sto_WW_HS</v>
      </c>
      <c r="N56" s="69"/>
      <c r="O56" s="16" t="s">
        <v>318</v>
      </c>
      <c r="P56" s="76"/>
    </row>
    <row r="57" spans="1:16" ht="21" customHeight="1" x14ac:dyDescent="0.5">
      <c r="A57" s="20" t="s">
        <v>21</v>
      </c>
      <c r="B57" s="26" t="s">
        <v>121</v>
      </c>
      <c r="C57" s="20" t="s">
        <v>20</v>
      </c>
      <c r="D57" s="20" t="s">
        <v>35</v>
      </c>
      <c r="E57" s="20">
        <v>2</v>
      </c>
      <c r="F57" s="20">
        <v>3</v>
      </c>
      <c r="G57" s="18" t="b">
        <v>1</v>
      </c>
      <c r="H57" s="57" t="s">
        <v>249</v>
      </c>
      <c r="I57" s="21">
        <v>44481</v>
      </c>
      <c r="J57" s="55">
        <v>0.50694444444444442</v>
      </c>
      <c r="K57" s="80">
        <v>24</v>
      </c>
      <c r="L57" s="70">
        <v>1040</v>
      </c>
      <c r="M57" s="86" t="str">
        <f>IF(Tableau1[[#This Row],[genotype]]="Wendy","Wen","Sto")&amp;"_"&amp;Tableau1[[#This Row],[water_condition]]&amp;"_"&amp;Tableau1[[#This Row],[heat_condition]]</f>
        <v>Sto_WW_HS</v>
      </c>
      <c r="N57" s="71"/>
      <c r="O57" s="16" t="s">
        <v>318</v>
      </c>
      <c r="P57" s="77"/>
    </row>
    <row r="58" spans="1:16" ht="21" hidden="1" customHeight="1" x14ac:dyDescent="0.5">
      <c r="A58" s="20" t="s">
        <v>25</v>
      </c>
      <c r="B58" s="26" t="s">
        <v>121</v>
      </c>
      <c r="C58" s="20" t="s">
        <v>20</v>
      </c>
      <c r="D58" s="20" t="s">
        <v>35</v>
      </c>
      <c r="E58" s="20">
        <v>2</v>
      </c>
      <c r="F58" s="20">
        <v>4</v>
      </c>
      <c r="G58" s="18" t="b">
        <v>0</v>
      </c>
      <c r="H58" s="57" t="s">
        <v>268</v>
      </c>
      <c r="I58" s="21">
        <v>44483</v>
      </c>
      <c r="J58" s="55">
        <v>0.77083333333333337</v>
      </c>
      <c r="K58" s="80"/>
      <c r="L58" s="70">
        <v>1067</v>
      </c>
      <c r="M58" s="70" t="str">
        <f>IF(Tableau1[[#This Row],[genotype]]="Wendy","Wen","Sto")&amp;"_"&amp;Tableau1[[#This Row],[water_condition]]&amp;"_"&amp;Tableau1[[#This Row],[heat_condition]]</f>
        <v>Wen_WW_HS</v>
      </c>
      <c r="N58" s="71" t="s">
        <v>160</v>
      </c>
      <c r="O58" s="16" t="s">
        <v>272</v>
      </c>
      <c r="P58" s="77" t="s">
        <v>250</v>
      </c>
    </row>
    <row r="59" spans="1:16" ht="21" customHeight="1" x14ac:dyDescent="0.5">
      <c r="A59" s="16" t="s">
        <v>21</v>
      </c>
      <c r="B59" s="27" t="s">
        <v>121</v>
      </c>
      <c r="C59" s="16" t="s">
        <v>20</v>
      </c>
      <c r="D59" s="16" t="s">
        <v>35</v>
      </c>
      <c r="E59" s="16">
        <v>2</v>
      </c>
      <c r="F59" s="16">
        <v>4</v>
      </c>
      <c r="G59" s="18" t="b">
        <v>1</v>
      </c>
      <c r="H59" s="58" t="s">
        <v>249</v>
      </c>
      <c r="I59" s="17">
        <v>44482</v>
      </c>
      <c r="J59" s="56">
        <v>0.34375</v>
      </c>
      <c r="K59" s="79">
        <v>24</v>
      </c>
      <c r="L59" s="68">
        <v>1066</v>
      </c>
      <c r="M59" s="86" t="str">
        <f>IF(Tableau1[[#This Row],[genotype]]="Wendy","Wen","Sto")&amp;"_"&amp;Tableau1[[#This Row],[water_condition]]&amp;"_"&amp;Tableau1[[#This Row],[heat_condition]]</f>
        <v>Sto_WW_HS</v>
      </c>
      <c r="N59" s="69"/>
      <c r="O59" s="16" t="s">
        <v>318</v>
      </c>
      <c r="P59" s="76"/>
    </row>
    <row r="60" spans="1:16" ht="21" customHeight="1" x14ac:dyDescent="0.5">
      <c r="A60" s="20" t="s">
        <v>21</v>
      </c>
      <c r="B60" s="26" t="s">
        <v>121</v>
      </c>
      <c r="C60" s="20" t="s">
        <v>39</v>
      </c>
      <c r="D60" s="20" t="s">
        <v>35</v>
      </c>
      <c r="E60" s="20">
        <v>2</v>
      </c>
      <c r="F60" s="20">
        <v>1</v>
      </c>
      <c r="G60" s="18" t="b">
        <v>1</v>
      </c>
      <c r="H60" s="57" t="s">
        <v>249</v>
      </c>
      <c r="I60" s="21">
        <v>44481</v>
      </c>
      <c r="J60" s="55">
        <v>0.38541666666666669</v>
      </c>
      <c r="K60" s="80">
        <v>25</v>
      </c>
      <c r="L60" s="70">
        <v>1026</v>
      </c>
      <c r="M60" s="86" t="str">
        <f>IF(Tableau1[[#This Row],[genotype]]="Wendy","Wen","Sto")&amp;"_"&amp;Tableau1[[#This Row],[water_condition]]&amp;"_"&amp;Tableau1[[#This Row],[heat_condition]]</f>
        <v>Sto_WS_HS</v>
      </c>
      <c r="N60" s="71"/>
      <c r="O60" s="16" t="s">
        <v>318</v>
      </c>
      <c r="P60" s="77"/>
    </row>
    <row r="61" spans="1:16" ht="21" customHeight="1" x14ac:dyDescent="0.5">
      <c r="A61" s="16" t="s">
        <v>21</v>
      </c>
      <c r="B61" s="27" t="s">
        <v>121</v>
      </c>
      <c r="C61" s="16" t="s">
        <v>39</v>
      </c>
      <c r="D61" s="16" t="s">
        <v>35</v>
      </c>
      <c r="E61" s="16">
        <v>2</v>
      </c>
      <c r="F61" s="16">
        <v>8</v>
      </c>
      <c r="G61" s="18" t="b">
        <v>1</v>
      </c>
      <c r="H61" s="58" t="s">
        <v>249</v>
      </c>
      <c r="I61" s="17">
        <v>44483</v>
      </c>
      <c r="J61" s="56">
        <v>0.5</v>
      </c>
      <c r="K61" s="79">
        <v>25</v>
      </c>
      <c r="L61" s="68">
        <v>1120</v>
      </c>
      <c r="M61" s="86" t="str">
        <f>IF(Tableau1[[#This Row],[genotype]]="Wendy","Wen","Sto")&amp;"_"&amp;Tableau1[[#This Row],[water_condition]]&amp;"_"&amp;Tableau1[[#This Row],[heat_condition]]</f>
        <v>Sto_WS_HS</v>
      </c>
      <c r="N61" s="69"/>
      <c r="O61" s="16" t="s">
        <v>318</v>
      </c>
      <c r="P61" s="76"/>
    </row>
    <row r="62" spans="1:16" ht="21" customHeight="1" x14ac:dyDescent="0.5">
      <c r="A62" s="16" t="s">
        <v>21</v>
      </c>
      <c r="B62" s="27" t="s">
        <v>121</v>
      </c>
      <c r="C62" s="16" t="s">
        <v>39</v>
      </c>
      <c r="D62" s="16" t="s">
        <v>35</v>
      </c>
      <c r="E62" s="16">
        <v>2</v>
      </c>
      <c r="F62" s="16">
        <v>6</v>
      </c>
      <c r="G62" s="18" t="b">
        <v>1</v>
      </c>
      <c r="H62" s="58" t="s">
        <v>249</v>
      </c>
      <c r="I62" s="17">
        <v>44482</v>
      </c>
      <c r="J62" s="56">
        <v>0.46875</v>
      </c>
      <c r="K62" s="79">
        <v>26</v>
      </c>
      <c r="L62" s="68">
        <v>1092</v>
      </c>
      <c r="M62" s="86" t="str">
        <f>IF(Tableau1[[#This Row],[genotype]]="Wendy","Wen","Sto")&amp;"_"&amp;Tableau1[[#This Row],[water_condition]]&amp;"_"&amp;Tableau1[[#This Row],[heat_condition]]</f>
        <v>Sto_WS_HS</v>
      </c>
      <c r="N62" s="69"/>
      <c r="O62" s="16" t="s">
        <v>318</v>
      </c>
      <c r="P62" s="76"/>
    </row>
    <row r="63" spans="1:16" ht="21" customHeight="1" x14ac:dyDescent="0.5">
      <c r="A63" s="20" t="s">
        <v>21</v>
      </c>
      <c r="B63" s="26" t="s">
        <v>121</v>
      </c>
      <c r="C63" s="20" t="s">
        <v>39</v>
      </c>
      <c r="D63" s="20" t="s">
        <v>35</v>
      </c>
      <c r="E63" s="20">
        <v>2</v>
      </c>
      <c r="F63" s="20"/>
      <c r="G63" s="18" t="b">
        <v>1</v>
      </c>
      <c r="H63" s="57" t="s">
        <v>249</v>
      </c>
      <c r="I63" s="21">
        <v>44482</v>
      </c>
      <c r="J63" s="55">
        <v>0.34375</v>
      </c>
      <c r="K63" s="80">
        <v>27</v>
      </c>
      <c r="L63" s="70">
        <v>1050</v>
      </c>
      <c r="M63" s="86" t="str">
        <f>IF(Tableau1[[#This Row],[genotype]]="Wendy","Wen","Sto")&amp;"_"&amp;Tableau1[[#This Row],[water_condition]]&amp;"_"&amp;Tableau1[[#This Row],[heat_condition]]</f>
        <v>Sto_WS_HS</v>
      </c>
      <c r="N63" s="71"/>
      <c r="O63" s="16" t="s">
        <v>318</v>
      </c>
      <c r="P63" s="77" t="s">
        <v>234</v>
      </c>
    </row>
    <row r="64" spans="1:16" ht="21" customHeight="1" x14ac:dyDescent="0.5">
      <c r="A64" s="20" t="s">
        <v>21</v>
      </c>
      <c r="B64" s="26" t="s">
        <v>121</v>
      </c>
      <c r="C64" s="20" t="s">
        <v>39</v>
      </c>
      <c r="D64" s="20" t="s">
        <v>35</v>
      </c>
      <c r="E64" s="20">
        <v>2</v>
      </c>
      <c r="F64" s="20">
        <v>7</v>
      </c>
      <c r="G64" s="18" t="b">
        <v>1</v>
      </c>
      <c r="H64" s="57" t="s">
        <v>249</v>
      </c>
      <c r="I64" s="21">
        <v>44483</v>
      </c>
      <c r="J64" s="55">
        <v>0.39583333333333331</v>
      </c>
      <c r="K64" s="80">
        <v>27</v>
      </c>
      <c r="L64" s="70">
        <v>1106</v>
      </c>
      <c r="M64" s="86" t="str">
        <f>IF(Tableau1[[#This Row],[genotype]]="Wendy","Wen","Sto")&amp;"_"&amp;Tableau1[[#This Row],[water_condition]]&amp;"_"&amp;Tableau1[[#This Row],[heat_condition]]</f>
        <v>Sto_WS_HS</v>
      </c>
      <c r="N64" s="71"/>
      <c r="O64" s="16" t="s">
        <v>318</v>
      </c>
      <c r="P64" s="77"/>
    </row>
    <row r="65" spans="1:16" ht="21" customHeight="1" x14ac:dyDescent="0.5">
      <c r="A65" s="20" t="s">
        <v>21</v>
      </c>
      <c r="B65" s="26" t="s">
        <v>121</v>
      </c>
      <c r="C65" s="20" t="s">
        <v>39</v>
      </c>
      <c r="D65" s="20" t="s">
        <v>35</v>
      </c>
      <c r="E65" s="20">
        <v>2</v>
      </c>
      <c r="F65" s="20">
        <v>4</v>
      </c>
      <c r="G65" s="18" t="b">
        <v>1</v>
      </c>
      <c r="H65" s="57" t="s">
        <v>249</v>
      </c>
      <c r="I65" s="21">
        <v>44483</v>
      </c>
      <c r="J65" s="55">
        <v>0.39583333333333331</v>
      </c>
      <c r="K65" s="80">
        <v>28</v>
      </c>
      <c r="L65" s="70">
        <v>1062</v>
      </c>
      <c r="M65" s="86" t="str">
        <f>IF(Tableau1[[#This Row],[genotype]]="Wendy","Wen","Sto")&amp;"_"&amp;Tableau1[[#This Row],[water_condition]]&amp;"_"&amp;Tableau1[[#This Row],[heat_condition]]</f>
        <v>Sto_WS_HS</v>
      </c>
      <c r="N65" s="71"/>
      <c r="O65" s="16" t="s">
        <v>318</v>
      </c>
      <c r="P65" s="77" t="s">
        <v>245</v>
      </c>
    </row>
    <row r="66" spans="1:16" ht="21" customHeight="1" x14ac:dyDescent="0.5">
      <c r="A66" s="20" t="s">
        <v>21</v>
      </c>
      <c r="B66" s="26" t="s">
        <v>121</v>
      </c>
      <c r="C66" s="20" t="s">
        <v>39</v>
      </c>
      <c r="D66" s="20" t="s">
        <v>35</v>
      </c>
      <c r="E66" s="20">
        <v>2</v>
      </c>
      <c r="F66" s="20">
        <v>5</v>
      </c>
      <c r="G66" s="18" t="b">
        <v>1</v>
      </c>
      <c r="H66" s="57" t="s">
        <v>249</v>
      </c>
      <c r="I66" s="21">
        <v>44482</v>
      </c>
      <c r="J66" s="55">
        <v>0.46875</v>
      </c>
      <c r="K66" s="80">
        <v>28</v>
      </c>
      <c r="L66" s="70">
        <v>1076</v>
      </c>
      <c r="M66" s="86" t="str">
        <f>IF(Tableau1[[#This Row],[genotype]]="Wendy","Wen","Sto")&amp;"_"&amp;Tableau1[[#This Row],[water_condition]]&amp;"_"&amp;Tableau1[[#This Row],[heat_condition]]</f>
        <v>Sto_WS_HS</v>
      </c>
      <c r="N66" s="71"/>
      <c r="O66" s="16" t="s">
        <v>318</v>
      </c>
      <c r="P66" s="77" t="s">
        <v>212</v>
      </c>
    </row>
    <row r="67" spans="1:16" ht="21" customHeight="1" x14ac:dyDescent="0.5">
      <c r="A67" s="16" t="s">
        <v>25</v>
      </c>
      <c r="B67" s="27" t="s">
        <v>121</v>
      </c>
      <c r="C67" s="16" t="s">
        <v>39</v>
      </c>
      <c r="D67" s="16" t="s">
        <v>35</v>
      </c>
      <c r="E67" s="16">
        <v>2</v>
      </c>
      <c r="F67" s="16">
        <v>4</v>
      </c>
      <c r="G67" s="18" t="b">
        <v>1</v>
      </c>
      <c r="H67" s="58" t="s">
        <v>249</v>
      </c>
      <c r="I67" s="17">
        <v>44482</v>
      </c>
      <c r="J67" s="56">
        <v>0.46875</v>
      </c>
      <c r="K67" s="79">
        <v>29</v>
      </c>
      <c r="L67" s="68">
        <v>1072</v>
      </c>
      <c r="M67" s="86" t="str">
        <f>IF(Tableau1[[#This Row],[genotype]]="Wendy","Wen","Sto")&amp;"_"&amp;Tableau1[[#This Row],[water_condition]]&amp;"_"&amp;Tableau1[[#This Row],[heat_condition]]</f>
        <v>Wen_WS_HS</v>
      </c>
      <c r="N67" s="69"/>
      <c r="O67" s="16" t="s">
        <v>318</v>
      </c>
      <c r="P67" s="76"/>
    </row>
    <row r="68" spans="1:16" ht="21" customHeight="1" x14ac:dyDescent="0.5">
      <c r="A68" s="20" t="s">
        <v>25</v>
      </c>
      <c r="B68" s="26" t="s">
        <v>121</v>
      </c>
      <c r="C68" s="20" t="s">
        <v>39</v>
      </c>
      <c r="D68" s="20" t="s">
        <v>35</v>
      </c>
      <c r="E68" s="20">
        <v>2</v>
      </c>
      <c r="F68" s="20">
        <v>5</v>
      </c>
      <c r="G68" s="18" t="b">
        <v>1</v>
      </c>
      <c r="H68" s="57" t="s">
        <v>249</v>
      </c>
      <c r="I68" s="21">
        <v>44482</v>
      </c>
      <c r="J68" s="55">
        <v>0.46875</v>
      </c>
      <c r="K68" s="80">
        <v>29</v>
      </c>
      <c r="L68" s="70">
        <v>1088</v>
      </c>
      <c r="M68" s="86" t="str">
        <f>IF(Tableau1[[#This Row],[genotype]]="Wendy","Wen","Sto")&amp;"_"&amp;Tableau1[[#This Row],[water_condition]]&amp;"_"&amp;Tableau1[[#This Row],[heat_condition]]</f>
        <v>Wen_WS_HS</v>
      </c>
      <c r="N68" s="71"/>
      <c r="O68" s="16" t="s">
        <v>318</v>
      </c>
      <c r="P68" s="77" t="s">
        <v>213</v>
      </c>
    </row>
    <row r="69" spans="1:16" ht="21" customHeight="1" x14ac:dyDescent="0.5">
      <c r="A69" s="16" t="s">
        <v>25</v>
      </c>
      <c r="B69" s="27" t="s">
        <v>121</v>
      </c>
      <c r="C69" s="16" t="s">
        <v>39</v>
      </c>
      <c r="D69" s="16" t="s">
        <v>35</v>
      </c>
      <c r="E69" s="16">
        <v>2</v>
      </c>
      <c r="F69" s="16">
        <v>2</v>
      </c>
      <c r="G69" s="18" t="b">
        <v>1</v>
      </c>
      <c r="H69" s="58" t="s">
        <v>249</v>
      </c>
      <c r="I69" s="17">
        <v>44481</v>
      </c>
      <c r="J69" s="56">
        <v>0.50694444444444442</v>
      </c>
      <c r="K69" s="79">
        <v>30</v>
      </c>
      <c r="L69" s="68">
        <v>1034</v>
      </c>
      <c r="M69" s="86" t="str">
        <f>IF(Tableau1[[#This Row],[genotype]]="Wendy","Wen","Sto")&amp;"_"&amp;Tableau1[[#This Row],[water_condition]]&amp;"_"&amp;Tableau1[[#This Row],[heat_condition]]</f>
        <v>Wen_WS_HS</v>
      </c>
      <c r="N69" s="69"/>
      <c r="O69" s="16" t="s">
        <v>318</v>
      </c>
      <c r="P69" s="76"/>
    </row>
    <row r="70" spans="1:16" ht="21" customHeight="1" x14ac:dyDescent="0.5">
      <c r="A70" s="20" t="s">
        <v>25</v>
      </c>
      <c r="B70" s="26" t="s">
        <v>121</v>
      </c>
      <c r="C70" s="20" t="s">
        <v>39</v>
      </c>
      <c r="D70" s="20" t="s">
        <v>35</v>
      </c>
      <c r="E70" s="20">
        <v>2</v>
      </c>
      <c r="F70" s="20">
        <v>6</v>
      </c>
      <c r="G70" s="18" t="b">
        <v>1</v>
      </c>
      <c r="H70" s="57" t="s">
        <v>249</v>
      </c>
      <c r="I70" s="21">
        <v>44482</v>
      </c>
      <c r="J70" s="55">
        <v>0.34375</v>
      </c>
      <c r="K70" s="80">
        <v>30</v>
      </c>
      <c r="L70" s="70">
        <v>1100</v>
      </c>
      <c r="M70" s="86" t="str">
        <f>IF(Tableau1[[#This Row],[genotype]]="Wendy","Wen","Sto")&amp;"_"&amp;Tableau1[[#This Row],[water_condition]]&amp;"_"&amp;Tableau1[[#This Row],[heat_condition]]</f>
        <v>Wen_WS_HS</v>
      </c>
      <c r="N70" s="71"/>
      <c r="O70" s="16" t="s">
        <v>318</v>
      </c>
      <c r="P70" s="77" t="s">
        <v>210</v>
      </c>
    </row>
    <row r="71" spans="1:16" ht="21" customHeight="1" x14ac:dyDescent="0.5">
      <c r="A71" s="16" t="s">
        <v>25</v>
      </c>
      <c r="B71" s="27" t="s">
        <v>121</v>
      </c>
      <c r="C71" s="16" t="s">
        <v>39</v>
      </c>
      <c r="D71" s="16" t="s">
        <v>35</v>
      </c>
      <c r="E71" s="16">
        <v>2</v>
      </c>
      <c r="F71" s="16">
        <v>3</v>
      </c>
      <c r="G71" s="18" t="b">
        <v>1</v>
      </c>
      <c r="H71" s="58" t="s">
        <v>249</v>
      </c>
      <c r="I71" s="17">
        <v>44481</v>
      </c>
      <c r="J71" s="56">
        <v>0.50694444444444442</v>
      </c>
      <c r="K71" s="79">
        <v>31</v>
      </c>
      <c r="L71" s="68">
        <v>1048</v>
      </c>
      <c r="M71" s="86" t="str">
        <f>IF(Tableau1[[#This Row],[genotype]]="Wendy","Wen","Sto")&amp;"_"&amp;Tableau1[[#This Row],[water_condition]]&amp;"_"&amp;Tableau1[[#This Row],[heat_condition]]</f>
        <v>Wen_WS_HS</v>
      </c>
      <c r="N71" s="69"/>
      <c r="O71" s="16" t="s">
        <v>318</v>
      </c>
      <c r="P71" s="76"/>
    </row>
    <row r="72" spans="1:16" ht="21" customHeight="1" x14ac:dyDescent="0.5">
      <c r="A72" s="16" t="s">
        <v>25</v>
      </c>
      <c r="B72" s="27" t="s">
        <v>121</v>
      </c>
      <c r="C72" s="16" t="s">
        <v>39</v>
      </c>
      <c r="D72" s="16" t="s">
        <v>35</v>
      </c>
      <c r="E72" s="16">
        <v>2</v>
      </c>
      <c r="F72" s="16">
        <v>7</v>
      </c>
      <c r="G72" s="18" t="b">
        <v>1</v>
      </c>
      <c r="H72" s="58" t="s">
        <v>249</v>
      </c>
      <c r="I72" s="17">
        <v>44483</v>
      </c>
      <c r="J72" s="56">
        <v>0.39583333333333331</v>
      </c>
      <c r="K72" s="79">
        <v>31</v>
      </c>
      <c r="L72" s="68">
        <v>1104</v>
      </c>
      <c r="M72" s="86" t="str">
        <f>IF(Tableau1[[#This Row],[genotype]]="Wendy","Wen","Sto")&amp;"_"&amp;Tableau1[[#This Row],[water_condition]]&amp;"_"&amp;Tableau1[[#This Row],[heat_condition]]</f>
        <v>Wen_WS_HS</v>
      </c>
      <c r="N72" s="69"/>
      <c r="O72" s="16" t="s">
        <v>318</v>
      </c>
      <c r="P72" s="76"/>
    </row>
    <row r="73" spans="1:16" ht="21" customHeight="1" x14ac:dyDescent="0.5">
      <c r="A73" s="16" t="s">
        <v>25</v>
      </c>
      <c r="B73" s="27" t="s">
        <v>121</v>
      </c>
      <c r="C73" s="16" t="s">
        <v>39</v>
      </c>
      <c r="D73" s="16" t="s">
        <v>35</v>
      </c>
      <c r="E73" s="16">
        <v>2</v>
      </c>
      <c r="F73" s="16">
        <v>1</v>
      </c>
      <c r="G73" s="18" t="b">
        <v>1</v>
      </c>
      <c r="H73" s="58" t="s">
        <v>249</v>
      </c>
      <c r="I73" s="17">
        <v>44481</v>
      </c>
      <c r="J73" s="56">
        <v>0.38541666666666669</v>
      </c>
      <c r="K73" s="79">
        <v>32</v>
      </c>
      <c r="L73" s="68">
        <v>1024</v>
      </c>
      <c r="M73" s="86" t="str">
        <f>IF(Tableau1[[#This Row],[genotype]]="Wendy","Wen","Sto")&amp;"_"&amp;Tableau1[[#This Row],[water_condition]]&amp;"_"&amp;Tableau1[[#This Row],[heat_condition]]</f>
        <v>Wen_WS_HS</v>
      </c>
      <c r="N73" s="69"/>
      <c r="O73" s="16" t="s">
        <v>318</v>
      </c>
      <c r="P73" s="76"/>
    </row>
    <row r="74" spans="1:16" ht="21" hidden="1" customHeight="1" x14ac:dyDescent="0.5">
      <c r="A74" s="20" t="s">
        <v>21</v>
      </c>
      <c r="B74" s="26" t="s">
        <v>121</v>
      </c>
      <c r="C74" s="20" t="s">
        <v>20</v>
      </c>
      <c r="D74" s="20" t="s">
        <v>35</v>
      </c>
      <c r="E74" s="20"/>
      <c r="F74" s="20">
        <v>4</v>
      </c>
      <c r="G74" s="18" t="b">
        <v>0</v>
      </c>
      <c r="H74" s="57"/>
      <c r="I74" s="21">
        <v>44483</v>
      </c>
      <c r="J74" s="55">
        <v>0.78472222222222221</v>
      </c>
      <c r="K74" s="80"/>
      <c r="L74" s="70">
        <v>1121</v>
      </c>
      <c r="M74" s="70" t="str">
        <f>IF(Tableau1[[#This Row],[genotype]]="Wendy","Wen","Sto")&amp;"_"&amp;Tableau1[[#This Row],[water_condition]]&amp;"_"&amp;Tableau1[[#This Row],[heat_condition]]</f>
        <v>Sto_WW_HS</v>
      </c>
      <c r="N74" s="71" t="s">
        <v>194</v>
      </c>
      <c r="O74" s="16" t="s">
        <v>272</v>
      </c>
      <c r="P74" s="77" t="s">
        <v>220</v>
      </c>
    </row>
    <row r="75" spans="1:16" ht="21" hidden="1" customHeight="1" x14ac:dyDescent="0.5">
      <c r="A75" s="16" t="s">
        <v>21</v>
      </c>
      <c r="B75" s="27" t="s">
        <v>121</v>
      </c>
      <c r="C75" s="16" t="s">
        <v>20</v>
      </c>
      <c r="D75" s="16" t="s">
        <v>35</v>
      </c>
      <c r="E75" s="16">
        <v>2</v>
      </c>
      <c r="F75" s="16">
        <v>8</v>
      </c>
      <c r="G75" s="18" t="b">
        <v>1</v>
      </c>
      <c r="H75" s="58" t="s">
        <v>268</v>
      </c>
      <c r="I75" s="17">
        <v>44483</v>
      </c>
      <c r="J75" s="56">
        <v>0.5</v>
      </c>
      <c r="K75" s="79"/>
      <c r="L75" s="68">
        <v>1128</v>
      </c>
      <c r="M75" s="68" t="str">
        <f>IF(Tableau1[[#This Row],[genotype]]="Wendy","Wen","Sto")&amp;"_"&amp;Tableau1[[#This Row],[water_condition]]&amp;"_"&amp;Tableau1[[#This Row],[heat_condition]]</f>
        <v>Sto_WW_HS</v>
      </c>
      <c r="N75" s="69"/>
      <c r="O75" s="16" t="s">
        <v>272</v>
      </c>
      <c r="P75" s="76"/>
    </row>
    <row r="76" spans="1:16" ht="21" customHeight="1" x14ac:dyDescent="0.5">
      <c r="A76" s="16" t="s">
        <v>25</v>
      </c>
      <c r="B76" s="27" t="s">
        <v>121</v>
      </c>
      <c r="C76" s="16" t="s">
        <v>39</v>
      </c>
      <c r="D76" s="16" t="s">
        <v>35</v>
      </c>
      <c r="E76" s="16">
        <v>2</v>
      </c>
      <c r="F76" s="16">
        <v>2</v>
      </c>
      <c r="G76" s="18" t="b">
        <v>1</v>
      </c>
      <c r="H76" s="58" t="s">
        <v>249</v>
      </c>
      <c r="I76" s="17">
        <v>44483</v>
      </c>
      <c r="J76" s="56">
        <v>0.5</v>
      </c>
      <c r="K76" s="79">
        <v>32</v>
      </c>
      <c r="L76" s="68">
        <v>1078</v>
      </c>
      <c r="M76" s="86" t="str">
        <f>IF(Tableau1[[#This Row],[genotype]]="Wendy","Wen","Sto")&amp;"_"&amp;Tableau1[[#This Row],[water_condition]]&amp;"_"&amp;Tableau1[[#This Row],[heat_condition]]</f>
        <v>Wen_WS_HS</v>
      </c>
      <c r="N76" s="69" t="s">
        <v>169</v>
      </c>
      <c r="O76" s="16" t="s">
        <v>318</v>
      </c>
      <c r="P76" s="76" t="s">
        <v>220</v>
      </c>
    </row>
    <row r="77" spans="1:16" ht="21" hidden="1" customHeight="1" x14ac:dyDescent="0.5">
      <c r="A77" s="62" t="s">
        <v>25</v>
      </c>
      <c r="B77" s="63" t="s">
        <v>121</v>
      </c>
      <c r="C77" s="62" t="s">
        <v>20</v>
      </c>
      <c r="D77" s="62" t="s">
        <v>35</v>
      </c>
      <c r="E77" s="62">
        <v>2</v>
      </c>
      <c r="F77" s="62">
        <v>3</v>
      </c>
      <c r="G77" s="64" t="b">
        <v>0</v>
      </c>
      <c r="H77" s="65"/>
      <c r="I77" s="66">
        <v>44483</v>
      </c>
      <c r="J77" s="67">
        <v>0.79166666666666663</v>
      </c>
      <c r="K77" s="82"/>
      <c r="L77" s="72">
        <v>1137</v>
      </c>
      <c r="M77" s="72" t="str">
        <f>IF(Tableau1[[#This Row],[genotype]]="Wendy","Wen","Sto")&amp;"_"&amp;Tableau1[[#This Row],[water_condition]]&amp;"_"&amp;Tableau1[[#This Row],[heat_condition]]</f>
        <v>Wen_WW_HS</v>
      </c>
      <c r="N77" s="73"/>
      <c r="O77" s="16" t="s">
        <v>272</v>
      </c>
      <c r="P77" s="78" t="s">
        <v>215</v>
      </c>
    </row>
  </sheetData>
  <conditionalFormatting sqref="B1:B42">
    <cfRule type="containsText" dxfId="91" priority="27" operator="containsText" text="HS">
      <formula>NOT(ISERROR(SEARCH("HS",B1)))</formula>
    </cfRule>
  </conditionalFormatting>
  <conditionalFormatting sqref="D1:D77">
    <cfRule type="containsText" dxfId="90" priority="20" operator="containsText" text="BM">
      <formula>NOT(ISERROR(SEARCH("BM",D1)))</formula>
    </cfRule>
    <cfRule type="containsText" dxfId="89" priority="21" operator="containsText" text="exud">
      <formula>NOT(ISERROR(SEARCH("exud",D1)))</formula>
    </cfRule>
    <cfRule type="containsText" dxfId="88" priority="22" operator="containsText" text="jav">
      <formula>NOT(ISERROR(SEARCH("jav",D1)))</formula>
    </cfRule>
    <cfRule type="containsText" dxfId="87" priority="23" operator="containsText" text="eco">
      <formula>NOT(ISERROR(SEARCH("eco",D1)))</formula>
    </cfRule>
  </conditionalFormatting>
  <conditionalFormatting sqref="I1:I7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77">
    <cfRule type="containsText" dxfId="86" priority="17" operator="containsText" text="faux">
      <formula>NOT(ISERROR(SEARCH("faux",G2)))</formula>
    </cfRule>
  </conditionalFormatting>
  <conditionalFormatting sqref="G2:G7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:B77">
    <cfRule type="containsText" dxfId="85" priority="16" operator="containsText" text="HS">
      <formula>NOT(ISERROR(SEARCH("HS",B43)))</formula>
    </cfRule>
  </conditionalFormatting>
  <conditionalFormatting sqref="K2:K7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77">
    <cfRule type="containsText" dxfId="84" priority="10" operator="containsText" text="non">
      <formula>NOT(ISERROR(SEARCH("non",H1)))</formula>
    </cfRule>
    <cfRule type="containsText" dxfId="83" priority="11" operator="containsText" text="oui">
      <formula>NOT(ISERROR(SEARCH("oui",H1)))</formula>
    </cfRule>
  </conditionalFormatting>
  <conditionalFormatting sqref="J1:J7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3 M15:M17 M20 M23:M24 M26:M29 M31:M39 M41:M50 M52:M57 M59:M73 M76">
    <cfRule type="containsText" dxfId="82" priority="6" operator="containsText" text="Sto_WS_HS">
      <formula>NOT(ISERROR(SEARCH("Sto_WS_HS",M3)))</formula>
    </cfRule>
    <cfRule type="containsText" dxfId="81" priority="7" operator="containsText" text="Sto_WS_OT">
      <formula>NOT(ISERROR(SEARCH("Sto_WS_OT",M3)))</formula>
    </cfRule>
    <cfRule type="containsText" dxfId="80" priority="8" operator="containsText" text="Sto_WW_OT">
      <formula>NOT(ISERROR(SEARCH("Sto_WW_OT",M3)))</formula>
    </cfRule>
  </conditionalFormatting>
  <conditionalFormatting sqref="M3:M13 M15:M17 M20 M23:M24 M26:M29 M31:M39 M41:M50 M52:M57 M59:M73 M76">
    <cfRule type="containsText" dxfId="79" priority="3" operator="containsText" text="Wen_WS_HS">
      <formula>NOT(ISERROR(SEARCH("Wen_WS_HS",M3)))</formula>
    </cfRule>
    <cfRule type="containsText" dxfId="78" priority="4" operator="containsText" text="Wen_WS_OT">
      <formula>NOT(ISERROR(SEARCH("Wen_WS_OT",M3)))</formula>
    </cfRule>
    <cfRule type="containsText" dxfId="77" priority="5" operator="containsText" text="Wen_WW_OT">
      <formula>NOT(ISERROR(SEARCH("Wen_WW_OT",M3)))</formula>
    </cfRule>
  </conditionalFormatting>
  <conditionalFormatting sqref="M3:M13 M15:M17 M20 M23:M24 M26:M29 M31:M39 M41:M50 M52:M57 M59:M73 M76">
    <cfRule type="containsText" dxfId="76" priority="1" operator="containsText" text="Wen_WW_HS">
      <formula>NOT(ISERROR(SEARCH("Wen_WW_HS",M3)))</formula>
    </cfRule>
    <cfRule type="containsText" dxfId="75" priority="2" operator="containsText" text="Sto_WW_HS">
      <formula>NOT(ISERROR(SEARCH("Sto_WW_HS",M3)))</formula>
    </cfRule>
  </conditionalFormatting>
  <pageMargins left="0.25" right="0.25" top="0.75" bottom="0.75" header="0.3" footer="0.3"/>
  <pageSetup paperSize="9" orientation="landscape" r:id="rId1"/>
  <headerFooter>
    <oddHeader>&amp;C&amp;"-,Gras"&amp;14
 biomol&amp;Rprint : &amp;D</oddHeader>
    <oddFooter>&amp;R&amp;P/&amp;N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E977-1CAD-4023-97EF-DE67C49BBF9D}">
  <dimension ref="A1:AA77"/>
  <sheetViews>
    <sheetView view="pageLayout" topLeftCell="P1" zoomScaleNormal="100" workbookViewId="0">
      <selection activeCell="P67" sqref="P67"/>
    </sheetView>
  </sheetViews>
  <sheetFormatPr baseColWidth="10" defaultRowHeight="14.5" x14ac:dyDescent="0.35"/>
  <cols>
    <col min="1" max="1" width="9" hidden="1" customWidth="1"/>
    <col min="2" max="2" width="8.81640625" hidden="1" customWidth="1"/>
    <col min="3" max="3" width="11.453125" hidden="1" customWidth="1"/>
    <col min="4" max="4" width="9.453125" hidden="1" customWidth="1"/>
    <col min="5" max="5" width="18.1796875" hidden="1" customWidth="1"/>
    <col min="6" max="6" width="6.1796875" customWidth="1"/>
    <col min="7" max="7" width="7.81640625" customWidth="1"/>
    <col min="8" max="8" width="11.54296875" customWidth="1"/>
    <col min="9" max="9" width="12.453125" customWidth="1"/>
    <col min="10" max="10" width="19.54296875" hidden="1" customWidth="1"/>
    <col min="11" max="12" width="11.453125" hidden="1" customWidth="1"/>
    <col min="13" max="13" width="0" hidden="1" customWidth="1"/>
    <col min="14" max="15" width="11.453125" customWidth="1"/>
    <col min="16" max="16" width="18.81640625" customWidth="1"/>
    <col min="17" max="17" width="30.453125" customWidth="1"/>
    <col min="18" max="18" width="13.453125" bestFit="1" customWidth="1"/>
    <col min="19" max="19" width="15.1796875" bestFit="1" customWidth="1"/>
    <col min="20" max="20" width="14.453125" customWidth="1"/>
    <col min="22" max="22" width="12.81640625" customWidth="1"/>
    <col min="23" max="27" width="12.54296875" customWidth="1"/>
  </cols>
  <sheetData>
    <row r="1" spans="1:27" s="40" customFormat="1" ht="43.5" x14ac:dyDescent="0.35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4" t="s">
        <v>13</v>
      </c>
      <c r="N1" s="43" t="s">
        <v>15</v>
      </c>
      <c r="O1" s="45" t="s">
        <v>16</v>
      </c>
      <c r="P1" s="46" t="s">
        <v>248</v>
      </c>
      <c r="Q1" s="46" t="s">
        <v>247</v>
      </c>
      <c r="R1" s="44" t="s">
        <v>12</v>
      </c>
      <c r="S1" s="44" t="s">
        <v>269</v>
      </c>
      <c r="T1" s="43" t="s">
        <v>14</v>
      </c>
      <c r="U1" s="47" t="s">
        <v>260</v>
      </c>
      <c r="V1" s="47" t="s">
        <v>261</v>
      </c>
      <c r="W1" s="47" t="s">
        <v>265</v>
      </c>
      <c r="X1" s="47" t="s">
        <v>267</v>
      </c>
      <c r="Y1" s="47" t="s">
        <v>262</v>
      </c>
      <c r="Z1" s="47" t="s">
        <v>263</v>
      </c>
      <c r="AA1" s="47" t="s">
        <v>266</v>
      </c>
    </row>
    <row r="2" spans="1:27" x14ac:dyDescent="0.35">
      <c r="A2" s="20">
        <v>3</v>
      </c>
      <c r="B2" s="20">
        <v>5</v>
      </c>
      <c r="C2" s="20" t="s">
        <v>17</v>
      </c>
      <c r="D2" s="20">
        <v>5</v>
      </c>
      <c r="E2" s="20" t="s">
        <v>29</v>
      </c>
      <c r="F2" s="20" t="s">
        <v>19</v>
      </c>
      <c r="G2" s="20" t="s">
        <v>20</v>
      </c>
      <c r="H2" s="20" t="s">
        <v>21</v>
      </c>
      <c r="I2" s="20" t="s">
        <v>35</v>
      </c>
      <c r="J2" s="20"/>
      <c r="K2" s="20">
        <v>2</v>
      </c>
      <c r="L2" s="20">
        <v>1</v>
      </c>
      <c r="M2" s="18" t="b">
        <v>0</v>
      </c>
      <c r="N2" s="20"/>
      <c r="O2" s="23" t="s">
        <v>235</v>
      </c>
      <c r="R2" s="21">
        <v>44483</v>
      </c>
      <c r="S2" s="55">
        <v>0.72916666666666663</v>
      </c>
      <c r="T2" s="22">
        <v>5</v>
      </c>
      <c r="U2" s="48" t="s">
        <v>264</v>
      </c>
      <c r="V2" s="48" t="s">
        <v>264</v>
      </c>
      <c r="W2" s="48" t="s">
        <v>264</v>
      </c>
      <c r="X2" s="48" t="s">
        <v>264</v>
      </c>
      <c r="Y2" s="48" t="s">
        <v>264</v>
      </c>
      <c r="Z2" s="48" t="s">
        <v>264</v>
      </c>
      <c r="AA2" s="49"/>
    </row>
    <row r="3" spans="1:27" x14ac:dyDescent="0.35">
      <c r="A3" s="16">
        <v>8</v>
      </c>
      <c r="B3" s="16">
        <v>5</v>
      </c>
      <c r="C3" s="16" t="s">
        <v>17</v>
      </c>
      <c r="D3" s="16">
        <v>15</v>
      </c>
      <c r="E3" s="16" t="s">
        <v>34</v>
      </c>
      <c r="F3" s="16" t="s">
        <v>19</v>
      </c>
      <c r="G3" s="16" t="s">
        <v>20</v>
      </c>
      <c r="H3" s="16" t="s">
        <v>25</v>
      </c>
      <c r="I3" s="16" t="s">
        <v>35</v>
      </c>
      <c r="J3" s="16" t="s">
        <v>23</v>
      </c>
      <c r="K3" s="16">
        <v>2</v>
      </c>
      <c r="L3" s="16">
        <v>2</v>
      </c>
      <c r="M3" s="18" t="b">
        <v>1</v>
      </c>
      <c r="N3" s="16"/>
      <c r="O3" s="24"/>
      <c r="P3" t="s">
        <v>249</v>
      </c>
      <c r="Q3">
        <v>1</v>
      </c>
      <c r="R3" s="17">
        <v>44481</v>
      </c>
      <c r="S3" s="56">
        <v>0.34375</v>
      </c>
      <c r="T3" s="19">
        <v>16</v>
      </c>
      <c r="U3" s="48" t="s">
        <v>264</v>
      </c>
      <c r="V3" s="48" t="s">
        <v>264</v>
      </c>
      <c r="W3" s="48" t="s">
        <v>264</v>
      </c>
      <c r="X3" s="48" t="s">
        <v>264</v>
      </c>
      <c r="Y3" s="48" t="s">
        <v>264</v>
      </c>
      <c r="Z3" s="48" t="s">
        <v>264</v>
      </c>
      <c r="AA3" s="49"/>
    </row>
    <row r="4" spans="1:27" x14ac:dyDescent="0.35">
      <c r="A4" s="20">
        <v>1</v>
      </c>
      <c r="B4" s="20">
        <v>4</v>
      </c>
      <c r="C4" s="20" t="s">
        <v>17</v>
      </c>
      <c r="D4" s="20">
        <v>17</v>
      </c>
      <c r="E4" s="20" t="s">
        <v>36</v>
      </c>
      <c r="F4" s="20" t="s">
        <v>19</v>
      </c>
      <c r="G4" s="20" t="s">
        <v>20</v>
      </c>
      <c r="H4" s="20" t="s">
        <v>21</v>
      </c>
      <c r="I4" s="20" t="s">
        <v>35</v>
      </c>
      <c r="J4" s="20" t="s">
        <v>23</v>
      </c>
      <c r="K4" s="20">
        <v>2</v>
      </c>
      <c r="L4" s="20">
        <v>1</v>
      </c>
      <c r="M4" s="18" t="b">
        <v>1</v>
      </c>
      <c r="N4" s="20"/>
      <c r="O4" s="23"/>
      <c r="P4" t="s">
        <v>249</v>
      </c>
      <c r="Q4">
        <v>5</v>
      </c>
      <c r="R4" s="21">
        <v>44481</v>
      </c>
      <c r="S4" s="55">
        <v>0.34375</v>
      </c>
      <c r="T4" s="22">
        <v>18</v>
      </c>
      <c r="U4" s="48" t="s">
        <v>264</v>
      </c>
      <c r="V4" s="48" t="s">
        <v>264</v>
      </c>
      <c r="W4" s="48" t="s">
        <v>264</v>
      </c>
      <c r="X4" s="48" t="s">
        <v>264</v>
      </c>
      <c r="Y4" s="48" t="s">
        <v>264</v>
      </c>
      <c r="Z4" s="48" t="s">
        <v>264</v>
      </c>
      <c r="AA4" s="49"/>
    </row>
    <row r="5" spans="1:27" x14ac:dyDescent="0.35">
      <c r="A5" s="16">
        <v>2</v>
      </c>
      <c r="B5" s="16">
        <v>4</v>
      </c>
      <c r="C5" s="16" t="s">
        <v>17</v>
      </c>
      <c r="D5" s="16">
        <v>19</v>
      </c>
      <c r="E5" s="16" t="s">
        <v>37</v>
      </c>
      <c r="F5" s="16" t="s">
        <v>19</v>
      </c>
      <c r="G5" s="16" t="s">
        <v>20</v>
      </c>
      <c r="H5" s="16" t="s">
        <v>25</v>
      </c>
      <c r="I5" s="16" t="s">
        <v>35</v>
      </c>
      <c r="J5" s="16" t="s">
        <v>23</v>
      </c>
      <c r="K5" s="16">
        <v>2</v>
      </c>
      <c r="L5" s="16">
        <v>1</v>
      </c>
      <c r="M5" s="18" t="b">
        <v>1</v>
      </c>
      <c r="N5" s="16"/>
      <c r="O5" s="24"/>
      <c r="P5" t="s">
        <v>249</v>
      </c>
      <c r="Q5">
        <v>4</v>
      </c>
      <c r="R5" s="17">
        <v>44481</v>
      </c>
      <c r="S5" s="56">
        <v>0.34375</v>
      </c>
      <c r="T5" s="19">
        <v>20</v>
      </c>
      <c r="U5" s="48" t="s">
        <v>264</v>
      </c>
      <c r="V5" s="48" t="s">
        <v>264</v>
      </c>
      <c r="W5" s="48" t="s">
        <v>264</v>
      </c>
      <c r="X5" s="48" t="s">
        <v>264</v>
      </c>
      <c r="Y5" s="48" t="s">
        <v>264</v>
      </c>
      <c r="Z5" s="48" t="s">
        <v>264</v>
      </c>
      <c r="AA5" s="49"/>
    </row>
    <row r="6" spans="1:27" x14ac:dyDescent="0.35">
      <c r="A6" s="20">
        <v>4</v>
      </c>
      <c r="B6" s="20">
        <v>4</v>
      </c>
      <c r="C6" s="20" t="s">
        <v>17</v>
      </c>
      <c r="D6" s="20">
        <v>23</v>
      </c>
      <c r="E6" s="20" t="s">
        <v>40</v>
      </c>
      <c r="F6" s="20" t="s">
        <v>19</v>
      </c>
      <c r="G6" s="20" t="s">
        <v>39</v>
      </c>
      <c r="H6" s="20" t="s">
        <v>25</v>
      </c>
      <c r="I6" s="20" t="s">
        <v>35</v>
      </c>
      <c r="J6" s="20" t="s">
        <v>23</v>
      </c>
      <c r="K6" s="20">
        <v>2</v>
      </c>
      <c r="L6" s="20">
        <v>1</v>
      </c>
      <c r="M6" s="18" t="b">
        <v>1</v>
      </c>
      <c r="N6" s="20"/>
      <c r="O6" s="23"/>
      <c r="P6" t="s">
        <v>249</v>
      </c>
      <c r="Q6">
        <v>12</v>
      </c>
      <c r="R6" s="21">
        <v>44482</v>
      </c>
      <c r="S6" s="55">
        <v>0.38541666666666669</v>
      </c>
      <c r="T6" s="22">
        <v>24</v>
      </c>
      <c r="U6" s="48" t="s">
        <v>264</v>
      </c>
      <c r="V6" s="48" t="s">
        <v>264</v>
      </c>
      <c r="W6" s="48" t="s">
        <v>264</v>
      </c>
      <c r="X6" s="48" t="s">
        <v>264</v>
      </c>
      <c r="Y6" s="48" t="s">
        <v>264</v>
      </c>
      <c r="Z6" s="48" t="s">
        <v>264</v>
      </c>
      <c r="AA6" s="49"/>
    </row>
    <row r="7" spans="1:27" x14ac:dyDescent="0.35">
      <c r="A7" s="16">
        <v>5</v>
      </c>
      <c r="B7" s="16">
        <v>4</v>
      </c>
      <c r="C7" s="16" t="s">
        <v>17</v>
      </c>
      <c r="D7" s="16">
        <v>25</v>
      </c>
      <c r="E7" s="16" t="s">
        <v>41</v>
      </c>
      <c r="F7" s="16" t="s">
        <v>19</v>
      </c>
      <c r="G7" s="16" t="s">
        <v>39</v>
      </c>
      <c r="H7" s="16" t="s">
        <v>21</v>
      </c>
      <c r="I7" s="16" t="s">
        <v>35</v>
      </c>
      <c r="J7" s="16" t="s">
        <v>23</v>
      </c>
      <c r="K7" s="16">
        <v>2</v>
      </c>
      <c r="L7" s="16">
        <v>1</v>
      </c>
      <c r="M7" s="18" t="b">
        <v>1</v>
      </c>
      <c r="N7" s="16"/>
      <c r="O7" s="24"/>
      <c r="P7" t="s">
        <v>249</v>
      </c>
      <c r="Q7">
        <v>13</v>
      </c>
      <c r="R7" s="17">
        <v>44481</v>
      </c>
      <c r="S7" s="56">
        <v>0.47222222222222227</v>
      </c>
      <c r="T7" s="19">
        <v>26</v>
      </c>
      <c r="U7" s="48" t="s">
        <v>264</v>
      </c>
      <c r="V7" s="48" t="s">
        <v>264</v>
      </c>
      <c r="W7" s="48" t="s">
        <v>264</v>
      </c>
      <c r="X7" s="48" t="s">
        <v>264</v>
      </c>
      <c r="Y7" s="48" t="s">
        <v>264</v>
      </c>
      <c r="Z7" s="48" t="s">
        <v>264</v>
      </c>
      <c r="AA7" s="49"/>
    </row>
    <row r="8" spans="1:27" x14ac:dyDescent="0.35">
      <c r="A8" s="20">
        <v>6</v>
      </c>
      <c r="B8" s="20">
        <v>4</v>
      </c>
      <c r="C8" s="20" t="s">
        <v>17</v>
      </c>
      <c r="D8" s="20">
        <v>27</v>
      </c>
      <c r="E8" s="20" t="s">
        <v>42</v>
      </c>
      <c r="F8" s="20" t="s">
        <v>19</v>
      </c>
      <c r="G8" s="20" t="s">
        <v>20</v>
      </c>
      <c r="H8" s="20" t="s">
        <v>21</v>
      </c>
      <c r="I8" s="20" t="s">
        <v>35</v>
      </c>
      <c r="J8" s="20" t="s">
        <v>23</v>
      </c>
      <c r="K8" s="20">
        <v>2</v>
      </c>
      <c r="L8" s="20">
        <v>2</v>
      </c>
      <c r="M8" s="18" t="b">
        <v>1</v>
      </c>
      <c r="N8" s="20"/>
      <c r="O8" s="23"/>
      <c r="P8" t="s">
        <v>249</v>
      </c>
      <c r="Q8">
        <v>7</v>
      </c>
      <c r="R8" s="21">
        <v>44481</v>
      </c>
      <c r="S8" s="55">
        <v>0.47222222222222227</v>
      </c>
      <c r="T8" s="22">
        <v>28</v>
      </c>
      <c r="U8" s="48" t="s">
        <v>264</v>
      </c>
      <c r="V8" s="48" t="s">
        <v>264</v>
      </c>
      <c r="W8" s="48" t="s">
        <v>264</v>
      </c>
      <c r="X8" s="48" t="s">
        <v>264</v>
      </c>
      <c r="Y8" s="48" t="s">
        <v>264</v>
      </c>
      <c r="Z8" s="48" t="s">
        <v>264</v>
      </c>
      <c r="AA8" s="49"/>
    </row>
    <row r="9" spans="1:27" x14ac:dyDescent="0.35">
      <c r="A9" s="16">
        <v>7</v>
      </c>
      <c r="B9" s="16">
        <v>4</v>
      </c>
      <c r="C9" s="16" t="s">
        <v>17</v>
      </c>
      <c r="D9" s="16">
        <v>29</v>
      </c>
      <c r="E9" s="16" t="s">
        <v>43</v>
      </c>
      <c r="F9" s="16" t="s">
        <v>19</v>
      </c>
      <c r="G9" s="16" t="s">
        <v>20</v>
      </c>
      <c r="H9" s="16" t="s">
        <v>25</v>
      </c>
      <c r="I9" s="16" t="s">
        <v>35</v>
      </c>
      <c r="J9" s="16" t="s">
        <v>23</v>
      </c>
      <c r="K9" s="16">
        <v>2</v>
      </c>
      <c r="L9" s="16">
        <v>2</v>
      </c>
      <c r="M9" s="18" t="b">
        <v>1</v>
      </c>
      <c r="N9" s="16"/>
      <c r="O9" s="24"/>
      <c r="P9" t="s">
        <v>249</v>
      </c>
      <c r="Q9">
        <v>2</v>
      </c>
      <c r="R9" s="17">
        <v>44481</v>
      </c>
      <c r="S9" s="56">
        <v>0.47222222222222227</v>
      </c>
      <c r="T9" s="19">
        <v>30</v>
      </c>
      <c r="U9" s="48" t="s">
        <v>264</v>
      </c>
      <c r="V9" s="48" t="s">
        <v>264</v>
      </c>
      <c r="W9" s="48" t="s">
        <v>264</v>
      </c>
      <c r="X9" s="48" t="s">
        <v>264</v>
      </c>
      <c r="Y9" s="48" t="s">
        <v>264</v>
      </c>
      <c r="Z9" s="48" t="s">
        <v>264</v>
      </c>
      <c r="AA9" s="49"/>
    </row>
    <row r="10" spans="1:27" x14ac:dyDescent="0.35">
      <c r="A10" s="20">
        <v>9</v>
      </c>
      <c r="B10" s="20">
        <v>4</v>
      </c>
      <c r="C10" s="20" t="s">
        <v>17</v>
      </c>
      <c r="D10" s="20">
        <v>33</v>
      </c>
      <c r="E10" s="20" t="s">
        <v>45</v>
      </c>
      <c r="F10" s="20" t="s">
        <v>19</v>
      </c>
      <c r="G10" s="20" t="s">
        <v>39</v>
      </c>
      <c r="H10" s="20" t="s">
        <v>25</v>
      </c>
      <c r="I10" s="20" t="s">
        <v>35</v>
      </c>
      <c r="J10" s="20" t="s">
        <v>23</v>
      </c>
      <c r="K10" s="20">
        <v>2</v>
      </c>
      <c r="L10" s="20">
        <v>2</v>
      </c>
      <c r="M10" s="18" t="b">
        <v>1</v>
      </c>
      <c r="N10" s="20"/>
      <c r="O10" s="23"/>
      <c r="P10" t="s">
        <v>249</v>
      </c>
      <c r="Q10">
        <v>10</v>
      </c>
      <c r="R10" s="21">
        <v>44481</v>
      </c>
      <c r="S10" s="55">
        <v>0.47222222222222227</v>
      </c>
      <c r="T10" s="22">
        <v>34</v>
      </c>
      <c r="U10" s="48" t="s">
        <v>264</v>
      </c>
      <c r="V10" s="48" t="s">
        <v>264</v>
      </c>
      <c r="W10" s="48" t="s">
        <v>264</v>
      </c>
      <c r="X10" s="48" t="s">
        <v>264</v>
      </c>
      <c r="Y10" s="48" t="s">
        <v>264</v>
      </c>
      <c r="Z10" s="48" t="s">
        <v>264</v>
      </c>
      <c r="AA10" s="49"/>
    </row>
    <row r="11" spans="1:27" x14ac:dyDescent="0.35">
      <c r="A11" s="16">
        <v>11</v>
      </c>
      <c r="B11" s="16">
        <v>4</v>
      </c>
      <c r="C11" s="16" t="s">
        <v>17</v>
      </c>
      <c r="D11" s="16">
        <v>37</v>
      </c>
      <c r="E11" s="16" t="s">
        <v>47</v>
      </c>
      <c r="F11" s="16" t="s">
        <v>19</v>
      </c>
      <c r="G11" s="16" t="s">
        <v>39</v>
      </c>
      <c r="H11" s="16" t="s">
        <v>21</v>
      </c>
      <c r="I11" s="16" t="s">
        <v>35</v>
      </c>
      <c r="J11" s="16" t="s">
        <v>23</v>
      </c>
      <c r="K11" s="16">
        <v>2</v>
      </c>
      <c r="L11" s="16">
        <v>2</v>
      </c>
      <c r="M11" s="18" t="b">
        <v>1</v>
      </c>
      <c r="N11" s="16"/>
      <c r="O11" s="24"/>
      <c r="P11" t="s">
        <v>249</v>
      </c>
      <c r="Q11">
        <v>14</v>
      </c>
      <c r="R11" s="17">
        <v>44481</v>
      </c>
      <c r="S11" s="56">
        <v>0.47222222222222227</v>
      </c>
      <c r="T11" s="19">
        <v>38</v>
      </c>
      <c r="U11" s="48" t="s">
        <v>264</v>
      </c>
      <c r="V11" s="48" t="s">
        <v>264</v>
      </c>
      <c r="W11" s="48" t="s">
        <v>264</v>
      </c>
      <c r="X11" s="48" t="s">
        <v>264</v>
      </c>
      <c r="Y11" s="48" t="s">
        <v>264</v>
      </c>
      <c r="Z11" s="48" t="s">
        <v>264</v>
      </c>
      <c r="AA11" s="49"/>
    </row>
    <row r="12" spans="1:27" x14ac:dyDescent="0.35">
      <c r="A12" s="20">
        <v>12</v>
      </c>
      <c r="B12" s="20">
        <v>4</v>
      </c>
      <c r="C12" s="20" t="s">
        <v>17</v>
      </c>
      <c r="D12" s="20">
        <v>39</v>
      </c>
      <c r="E12" s="20" t="s">
        <v>48</v>
      </c>
      <c r="F12" s="20" t="s">
        <v>19</v>
      </c>
      <c r="G12" s="20" t="s">
        <v>20</v>
      </c>
      <c r="H12" s="20" t="s">
        <v>21</v>
      </c>
      <c r="I12" s="20" t="s">
        <v>35</v>
      </c>
      <c r="J12" s="20" t="s">
        <v>23</v>
      </c>
      <c r="K12" s="20">
        <v>2</v>
      </c>
      <c r="L12" s="20">
        <v>3</v>
      </c>
      <c r="M12" s="18" t="b">
        <v>1</v>
      </c>
      <c r="N12" s="20"/>
      <c r="O12" s="23"/>
      <c r="P12" t="s">
        <v>249</v>
      </c>
      <c r="Q12">
        <v>8</v>
      </c>
      <c r="R12" s="21">
        <v>44481</v>
      </c>
      <c r="S12" s="55">
        <v>0.47222222222222227</v>
      </c>
      <c r="T12" s="22">
        <v>40</v>
      </c>
      <c r="U12" s="48" t="s">
        <v>264</v>
      </c>
      <c r="V12" s="48" t="s">
        <v>264</v>
      </c>
      <c r="W12" s="48" t="s">
        <v>264</v>
      </c>
      <c r="X12" s="48" t="s">
        <v>264</v>
      </c>
      <c r="Y12" s="48" t="s">
        <v>264</v>
      </c>
      <c r="Z12" s="48" t="s">
        <v>264</v>
      </c>
      <c r="AA12" s="49"/>
    </row>
    <row r="13" spans="1:27" x14ac:dyDescent="0.35">
      <c r="A13" s="16">
        <v>13</v>
      </c>
      <c r="B13" s="16">
        <v>4</v>
      </c>
      <c r="C13" s="16" t="s">
        <v>17</v>
      </c>
      <c r="D13" s="16">
        <v>41</v>
      </c>
      <c r="E13" s="16" t="s">
        <v>49</v>
      </c>
      <c r="F13" s="16" t="s">
        <v>19</v>
      </c>
      <c r="G13" s="16" t="s">
        <v>39</v>
      </c>
      <c r="H13" s="16" t="s">
        <v>21</v>
      </c>
      <c r="I13" s="16" t="s">
        <v>35</v>
      </c>
      <c r="J13" s="16" t="s">
        <v>23</v>
      </c>
      <c r="K13" s="16">
        <v>2</v>
      </c>
      <c r="L13" s="16">
        <v>3</v>
      </c>
      <c r="M13" s="18" t="b">
        <v>1</v>
      </c>
      <c r="N13" s="16"/>
      <c r="O13" s="24"/>
      <c r="P13" t="s">
        <v>249</v>
      </c>
      <c r="Q13">
        <v>15</v>
      </c>
      <c r="R13" s="17">
        <v>44481</v>
      </c>
      <c r="S13" s="56">
        <v>0.47222222222222227</v>
      </c>
      <c r="T13" s="19">
        <v>42</v>
      </c>
      <c r="U13" s="48" t="s">
        <v>264</v>
      </c>
      <c r="V13" s="48" t="s">
        <v>264</v>
      </c>
      <c r="W13" s="48" t="s">
        <v>264</v>
      </c>
      <c r="X13" s="48" t="s">
        <v>264</v>
      </c>
      <c r="Y13" s="48" t="s">
        <v>264</v>
      </c>
      <c r="Z13" s="48" t="s">
        <v>264</v>
      </c>
      <c r="AA13" s="49"/>
    </row>
    <row r="14" spans="1:27" x14ac:dyDescent="0.35">
      <c r="A14" s="20">
        <v>15</v>
      </c>
      <c r="B14" s="20">
        <v>4</v>
      </c>
      <c r="C14" s="20" t="s">
        <v>17</v>
      </c>
      <c r="D14" s="20">
        <v>45</v>
      </c>
      <c r="E14" s="20" t="s">
        <v>53</v>
      </c>
      <c r="F14" s="20" t="s">
        <v>19</v>
      </c>
      <c r="G14" s="20" t="s">
        <v>39</v>
      </c>
      <c r="H14" s="20" t="s">
        <v>21</v>
      </c>
      <c r="I14" s="20" t="s">
        <v>35</v>
      </c>
      <c r="J14" s="20"/>
      <c r="K14" s="20">
        <v>2</v>
      </c>
      <c r="L14" s="20">
        <v>1</v>
      </c>
      <c r="M14" s="18" t="b">
        <v>1</v>
      </c>
      <c r="N14" s="20" t="s">
        <v>55</v>
      </c>
      <c r="O14" s="23" t="s">
        <v>220</v>
      </c>
      <c r="R14" s="21">
        <v>44483</v>
      </c>
      <c r="S14" s="55">
        <v>0.72916666666666663</v>
      </c>
      <c r="T14" s="22">
        <v>46</v>
      </c>
      <c r="U14" s="48" t="s">
        <v>264</v>
      </c>
      <c r="V14" s="48" t="s">
        <v>264</v>
      </c>
      <c r="W14" s="48" t="s">
        <v>264</v>
      </c>
      <c r="X14" s="52"/>
      <c r="Y14" s="48" t="s">
        <v>264</v>
      </c>
      <c r="Z14" s="48" t="s">
        <v>264</v>
      </c>
      <c r="AA14" s="49"/>
    </row>
    <row r="15" spans="1:27" x14ac:dyDescent="0.35">
      <c r="A15" s="16">
        <v>16</v>
      </c>
      <c r="B15" s="16">
        <v>4</v>
      </c>
      <c r="C15" s="16" t="s">
        <v>17</v>
      </c>
      <c r="D15" s="16">
        <v>47</v>
      </c>
      <c r="E15" s="16" t="s">
        <v>56</v>
      </c>
      <c r="F15" s="16" t="s">
        <v>19</v>
      </c>
      <c r="G15" s="16" t="s">
        <v>39</v>
      </c>
      <c r="H15" s="16" t="s">
        <v>25</v>
      </c>
      <c r="I15" s="16" t="s">
        <v>35</v>
      </c>
      <c r="J15" s="16" t="s">
        <v>23</v>
      </c>
      <c r="K15" s="16">
        <v>2</v>
      </c>
      <c r="L15" s="16">
        <v>3</v>
      </c>
      <c r="M15" s="18" t="b">
        <v>1</v>
      </c>
      <c r="N15" s="16"/>
      <c r="O15" s="24"/>
      <c r="P15" t="s">
        <v>249</v>
      </c>
      <c r="Q15">
        <v>11</v>
      </c>
      <c r="R15" s="17">
        <v>44482</v>
      </c>
      <c r="S15" s="56">
        <v>0.38541666666666669</v>
      </c>
      <c r="T15" s="19">
        <v>48</v>
      </c>
      <c r="U15" s="48" t="s">
        <v>264</v>
      </c>
      <c r="V15" s="50"/>
      <c r="W15" s="48" t="s">
        <v>264</v>
      </c>
      <c r="X15" s="48" t="s">
        <v>264</v>
      </c>
      <c r="Y15" s="48" t="s">
        <v>264</v>
      </c>
      <c r="Z15" s="48" t="s">
        <v>264</v>
      </c>
      <c r="AA15" s="49"/>
    </row>
    <row r="16" spans="1:27" x14ac:dyDescent="0.35">
      <c r="A16" s="20">
        <v>19</v>
      </c>
      <c r="B16" s="20">
        <v>4</v>
      </c>
      <c r="C16" s="20" t="s">
        <v>17</v>
      </c>
      <c r="D16" s="20">
        <v>53</v>
      </c>
      <c r="E16" s="20" t="s">
        <v>60</v>
      </c>
      <c r="F16" s="20" t="s">
        <v>19</v>
      </c>
      <c r="G16" s="20" t="s">
        <v>20</v>
      </c>
      <c r="H16" s="20" t="s">
        <v>21</v>
      </c>
      <c r="I16" s="20" t="s">
        <v>35</v>
      </c>
      <c r="J16" s="20" t="s">
        <v>23</v>
      </c>
      <c r="K16" s="20">
        <v>2</v>
      </c>
      <c r="L16" s="20"/>
      <c r="M16" s="18" t="b">
        <v>1</v>
      </c>
      <c r="N16" s="20"/>
      <c r="O16" s="23"/>
      <c r="P16" t="s">
        <v>249</v>
      </c>
      <c r="Q16">
        <v>6</v>
      </c>
      <c r="R16" s="21">
        <v>44482</v>
      </c>
      <c r="S16" s="55">
        <v>0.38541666666666669</v>
      </c>
      <c r="T16" s="22">
        <v>54</v>
      </c>
      <c r="U16" s="48"/>
      <c r="V16" s="48" t="s">
        <v>264</v>
      </c>
      <c r="W16" s="48" t="s">
        <v>264</v>
      </c>
      <c r="X16" s="48" t="s">
        <v>264</v>
      </c>
      <c r="Y16" s="48" t="s">
        <v>264</v>
      </c>
      <c r="Z16" s="48" t="s">
        <v>264</v>
      </c>
      <c r="AA16" s="49"/>
    </row>
    <row r="17" spans="1:27" x14ac:dyDescent="0.35">
      <c r="A17" s="16">
        <v>20</v>
      </c>
      <c r="B17" s="16">
        <v>4</v>
      </c>
      <c r="C17" s="16" t="s">
        <v>17</v>
      </c>
      <c r="D17" s="16">
        <v>55</v>
      </c>
      <c r="E17" s="16" t="s">
        <v>61</v>
      </c>
      <c r="F17" s="16" t="s">
        <v>19</v>
      </c>
      <c r="G17" s="16" t="s">
        <v>20</v>
      </c>
      <c r="H17" s="16" t="s">
        <v>25</v>
      </c>
      <c r="I17" s="16" t="s">
        <v>35</v>
      </c>
      <c r="J17" s="16" t="s">
        <v>23</v>
      </c>
      <c r="K17" s="16">
        <v>2</v>
      </c>
      <c r="L17" s="16"/>
      <c r="M17" s="18" t="b">
        <v>1</v>
      </c>
      <c r="N17" s="16"/>
      <c r="O17" s="24"/>
      <c r="P17" t="s">
        <v>249</v>
      </c>
      <c r="Q17">
        <v>3</v>
      </c>
      <c r="R17" s="17">
        <v>44482</v>
      </c>
      <c r="S17" s="56">
        <v>0.38541666666666669</v>
      </c>
      <c r="T17" s="19">
        <v>56</v>
      </c>
      <c r="U17" s="48" t="s">
        <v>264</v>
      </c>
      <c r="V17" s="48" t="s">
        <v>264</v>
      </c>
      <c r="W17" s="48" t="s">
        <v>264</v>
      </c>
      <c r="X17" s="48" t="s">
        <v>264</v>
      </c>
      <c r="Y17" s="48" t="s">
        <v>264</v>
      </c>
      <c r="Z17" s="48" t="s">
        <v>264</v>
      </c>
      <c r="AA17" s="49"/>
    </row>
    <row r="18" spans="1:27" x14ac:dyDescent="0.35">
      <c r="A18" s="20">
        <v>21</v>
      </c>
      <c r="B18" s="20">
        <v>4</v>
      </c>
      <c r="C18" s="20" t="s">
        <v>17</v>
      </c>
      <c r="D18" s="20">
        <v>57</v>
      </c>
      <c r="E18" s="20" t="s">
        <v>62</v>
      </c>
      <c r="F18" s="20" t="s">
        <v>19</v>
      </c>
      <c r="G18" s="20" t="s">
        <v>39</v>
      </c>
      <c r="H18" s="20" t="s">
        <v>21</v>
      </c>
      <c r="I18" s="20" t="s">
        <v>35</v>
      </c>
      <c r="J18" s="20" t="s">
        <v>59</v>
      </c>
      <c r="K18" s="20">
        <v>2</v>
      </c>
      <c r="L18" s="20"/>
      <c r="M18" s="18" t="b">
        <v>0</v>
      </c>
      <c r="N18" s="20"/>
      <c r="O18" s="23" t="s">
        <v>235</v>
      </c>
      <c r="R18" s="21">
        <v>44483</v>
      </c>
      <c r="S18" s="55">
        <v>0.72916666666666663</v>
      </c>
      <c r="T18" s="22">
        <v>57</v>
      </c>
      <c r="U18" s="48" t="s">
        <v>264</v>
      </c>
      <c r="V18" s="48"/>
      <c r="W18" s="48" t="s">
        <v>264</v>
      </c>
      <c r="X18" s="48" t="s">
        <v>264</v>
      </c>
      <c r="Y18" s="48" t="s">
        <v>264</v>
      </c>
      <c r="Z18" s="48" t="s">
        <v>264</v>
      </c>
      <c r="AA18" s="49"/>
    </row>
    <row r="19" spans="1:27" x14ac:dyDescent="0.35">
      <c r="A19" s="16">
        <v>21</v>
      </c>
      <c r="B19" s="16">
        <v>4</v>
      </c>
      <c r="C19" s="16" t="s">
        <v>17</v>
      </c>
      <c r="D19" s="16">
        <v>57</v>
      </c>
      <c r="E19" s="16" t="s">
        <v>62</v>
      </c>
      <c r="F19" s="16" t="s">
        <v>19</v>
      </c>
      <c r="G19" s="16" t="s">
        <v>39</v>
      </c>
      <c r="H19" s="16" t="s">
        <v>21</v>
      </c>
      <c r="I19" s="16" t="s">
        <v>35</v>
      </c>
      <c r="J19" s="16" t="s">
        <v>59</v>
      </c>
      <c r="K19" s="16">
        <v>2</v>
      </c>
      <c r="L19" s="16"/>
      <c r="M19" s="18" t="b">
        <v>1</v>
      </c>
      <c r="N19" s="16"/>
      <c r="O19" s="24" t="s">
        <v>235</v>
      </c>
      <c r="R19" s="17">
        <v>44483</v>
      </c>
      <c r="S19" s="56">
        <v>0.72916666666666663</v>
      </c>
      <c r="T19" s="19">
        <v>58</v>
      </c>
      <c r="U19" s="48" t="s">
        <v>264</v>
      </c>
      <c r="V19" s="48" t="s">
        <v>264</v>
      </c>
      <c r="W19" s="48" t="s">
        <v>264</v>
      </c>
      <c r="X19" s="48" t="s">
        <v>264</v>
      </c>
      <c r="Y19" s="48" t="s">
        <v>264</v>
      </c>
      <c r="Z19" s="48" t="s">
        <v>264</v>
      </c>
      <c r="AA19" s="49"/>
    </row>
    <row r="20" spans="1:27" x14ac:dyDescent="0.35">
      <c r="A20" s="20">
        <v>1</v>
      </c>
      <c r="B20" s="20">
        <v>3</v>
      </c>
      <c r="C20" s="20" t="s">
        <v>17</v>
      </c>
      <c r="D20" s="20">
        <v>61</v>
      </c>
      <c r="E20" s="20" t="s">
        <v>65</v>
      </c>
      <c r="F20" s="20" t="s">
        <v>19</v>
      </c>
      <c r="G20" s="20" t="s">
        <v>39</v>
      </c>
      <c r="H20" s="20" t="s">
        <v>21</v>
      </c>
      <c r="I20" s="20" t="s">
        <v>35</v>
      </c>
      <c r="J20" s="20" t="s">
        <v>23</v>
      </c>
      <c r="K20" s="20">
        <v>2</v>
      </c>
      <c r="L20" s="20">
        <v>4</v>
      </c>
      <c r="M20" s="18" t="b">
        <v>1</v>
      </c>
      <c r="N20" s="20"/>
      <c r="O20" s="23"/>
      <c r="P20" t="s">
        <v>249</v>
      </c>
      <c r="Q20">
        <v>16</v>
      </c>
      <c r="R20" s="21">
        <v>44481</v>
      </c>
      <c r="S20" s="55">
        <v>0.34375</v>
      </c>
      <c r="T20" s="22">
        <v>62</v>
      </c>
      <c r="U20" s="48"/>
      <c r="V20" s="48" t="s">
        <v>264</v>
      </c>
      <c r="W20" s="48" t="s">
        <v>264</v>
      </c>
      <c r="X20" s="48" t="s">
        <v>264</v>
      </c>
      <c r="Y20" s="48" t="s">
        <v>264</v>
      </c>
      <c r="Z20" s="48" t="s">
        <v>264</v>
      </c>
      <c r="AA20" s="49"/>
    </row>
    <row r="21" spans="1:27" x14ac:dyDescent="0.35">
      <c r="A21" s="16">
        <v>2</v>
      </c>
      <c r="B21" s="16">
        <v>3</v>
      </c>
      <c r="C21" s="16" t="s">
        <v>17</v>
      </c>
      <c r="D21" s="16">
        <v>63</v>
      </c>
      <c r="E21" s="16" t="s">
        <v>66</v>
      </c>
      <c r="F21" s="16" t="s">
        <v>19</v>
      </c>
      <c r="G21" s="16" t="s">
        <v>20</v>
      </c>
      <c r="H21" s="16" t="s">
        <v>25</v>
      </c>
      <c r="I21" s="16" t="s">
        <v>35</v>
      </c>
      <c r="J21" s="16" t="s">
        <v>27</v>
      </c>
      <c r="K21" s="16">
        <v>2</v>
      </c>
      <c r="L21" s="16">
        <v>2</v>
      </c>
      <c r="M21" s="18" t="b">
        <v>0</v>
      </c>
      <c r="N21" s="16" t="s">
        <v>67</v>
      </c>
      <c r="O21" s="24" t="s">
        <v>220</v>
      </c>
      <c r="R21" s="17">
        <v>44483</v>
      </c>
      <c r="S21" s="56">
        <v>0.72916666666666663</v>
      </c>
      <c r="T21" s="19">
        <v>63</v>
      </c>
      <c r="U21" s="48" t="s">
        <v>264</v>
      </c>
      <c r="V21" s="48"/>
      <c r="W21" s="48"/>
      <c r="X21" s="48" t="s">
        <v>264</v>
      </c>
      <c r="Y21" s="48" t="s">
        <v>264</v>
      </c>
      <c r="Z21" s="48" t="s">
        <v>264</v>
      </c>
      <c r="AA21" s="49"/>
    </row>
    <row r="22" spans="1:27" x14ac:dyDescent="0.35">
      <c r="A22" s="20">
        <v>4</v>
      </c>
      <c r="B22" s="20">
        <v>3</v>
      </c>
      <c r="C22" s="20" t="s">
        <v>17</v>
      </c>
      <c r="D22" s="20">
        <v>67</v>
      </c>
      <c r="E22" s="20" t="s">
        <v>72</v>
      </c>
      <c r="F22" s="20" t="s">
        <v>19</v>
      </c>
      <c r="G22" s="20" t="s">
        <v>20</v>
      </c>
      <c r="H22" s="20" t="s">
        <v>25</v>
      </c>
      <c r="I22" s="20" t="s">
        <v>35</v>
      </c>
      <c r="J22" s="20" t="s">
        <v>23</v>
      </c>
      <c r="K22" s="20">
        <v>2</v>
      </c>
      <c r="L22" s="20">
        <v>4</v>
      </c>
      <c r="M22" s="18" t="b">
        <v>1</v>
      </c>
      <c r="N22" s="20"/>
      <c r="O22" s="23" t="s">
        <v>211</v>
      </c>
      <c r="R22" s="21">
        <v>44482</v>
      </c>
      <c r="S22" s="55">
        <v>0.38541666666666669</v>
      </c>
      <c r="T22" s="22">
        <v>68</v>
      </c>
      <c r="U22" s="48" t="s">
        <v>264</v>
      </c>
      <c r="V22" s="48" t="s">
        <v>264</v>
      </c>
      <c r="W22" s="48" t="s">
        <v>264</v>
      </c>
      <c r="X22" s="48" t="s">
        <v>264</v>
      </c>
      <c r="Y22" s="48" t="s">
        <v>264</v>
      </c>
      <c r="Z22" s="48" t="s">
        <v>264</v>
      </c>
      <c r="AA22" s="49"/>
    </row>
    <row r="23" spans="1:27" x14ac:dyDescent="0.35">
      <c r="A23" s="16">
        <v>6</v>
      </c>
      <c r="B23" s="16">
        <v>3</v>
      </c>
      <c r="C23" s="16" t="s">
        <v>17</v>
      </c>
      <c r="D23" s="16">
        <v>71</v>
      </c>
      <c r="E23" s="16" t="s">
        <v>74</v>
      </c>
      <c r="F23" s="16" t="s">
        <v>19</v>
      </c>
      <c r="G23" s="16" t="s">
        <v>39</v>
      </c>
      <c r="H23" s="16" t="s">
        <v>25</v>
      </c>
      <c r="I23" s="16" t="s">
        <v>35</v>
      </c>
      <c r="J23" s="16" t="s">
        <v>23</v>
      </c>
      <c r="K23" s="16">
        <v>2</v>
      </c>
      <c r="L23" s="16">
        <v>4</v>
      </c>
      <c r="M23" s="18" t="b">
        <v>1</v>
      </c>
      <c r="N23" s="16"/>
      <c r="O23" s="24"/>
      <c r="P23" t="s">
        <v>249</v>
      </c>
      <c r="Q23">
        <v>9</v>
      </c>
      <c r="R23" s="17">
        <v>44482</v>
      </c>
      <c r="S23" s="56">
        <v>0.38541666666666669</v>
      </c>
      <c r="T23" s="19">
        <v>72</v>
      </c>
      <c r="U23" s="48" t="s">
        <v>264</v>
      </c>
      <c r="V23" s="48" t="s">
        <v>264</v>
      </c>
      <c r="W23" s="48" t="s">
        <v>264</v>
      </c>
      <c r="X23" s="48" t="s">
        <v>264</v>
      </c>
      <c r="Y23" s="48" t="s">
        <v>264</v>
      </c>
      <c r="Z23" s="48" t="s">
        <v>264</v>
      </c>
      <c r="AA23" s="49"/>
    </row>
    <row r="24" spans="1:27" x14ac:dyDescent="0.35">
      <c r="A24" s="20">
        <v>8</v>
      </c>
      <c r="B24" s="20">
        <v>3</v>
      </c>
      <c r="C24" s="20" t="s">
        <v>17</v>
      </c>
      <c r="D24" s="20">
        <v>75</v>
      </c>
      <c r="E24" s="20" t="s">
        <v>76</v>
      </c>
      <c r="F24" s="20" t="s">
        <v>19</v>
      </c>
      <c r="G24" s="20" t="s">
        <v>39</v>
      </c>
      <c r="H24" s="20" t="s">
        <v>21</v>
      </c>
      <c r="I24" s="20" t="s">
        <v>35</v>
      </c>
      <c r="J24" s="20" t="s">
        <v>23</v>
      </c>
      <c r="K24" s="20">
        <v>2</v>
      </c>
      <c r="L24" s="20">
        <v>5</v>
      </c>
      <c r="M24" s="18" t="b">
        <v>1</v>
      </c>
      <c r="N24" s="20"/>
      <c r="O24" s="23"/>
      <c r="P24" t="s">
        <v>249</v>
      </c>
      <c r="Q24">
        <v>16</v>
      </c>
      <c r="R24" s="21">
        <v>44482</v>
      </c>
      <c r="S24" s="55">
        <v>0.51041666666666663</v>
      </c>
      <c r="T24" s="22">
        <v>76</v>
      </c>
      <c r="U24" s="48" t="s">
        <v>264</v>
      </c>
      <c r="V24" s="48" t="s">
        <v>264</v>
      </c>
      <c r="W24" s="48" t="s">
        <v>264</v>
      </c>
      <c r="X24" s="48" t="s">
        <v>264</v>
      </c>
      <c r="Y24" s="48" t="s">
        <v>264</v>
      </c>
      <c r="Z24" s="48" t="s">
        <v>264</v>
      </c>
      <c r="AA24" s="49"/>
    </row>
    <row r="25" spans="1:27" x14ac:dyDescent="0.35">
      <c r="A25" s="16">
        <v>10</v>
      </c>
      <c r="B25" s="16">
        <v>3</v>
      </c>
      <c r="C25" s="16" t="s">
        <v>17</v>
      </c>
      <c r="D25" s="16">
        <v>79</v>
      </c>
      <c r="E25" s="16" t="s">
        <v>78</v>
      </c>
      <c r="F25" s="16" t="s">
        <v>19</v>
      </c>
      <c r="G25" s="16" t="s">
        <v>20</v>
      </c>
      <c r="H25" s="16" t="s">
        <v>21</v>
      </c>
      <c r="I25" s="16" t="s">
        <v>35</v>
      </c>
      <c r="J25" s="16" t="s">
        <v>23</v>
      </c>
      <c r="K25" s="16">
        <v>2</v>
      </c>
      <c r="L25" s="16">
        <v>5</v>
      </c>
      <c r="M25" s="18" t="b">
        <v>1</v>
      </c>
      <c r="N25" s="16"/>
      <c r="O25" s="24" t="s">
        <v>214</v>
      </c>
      <c r="R25" s="17">
        <v>44482</v>
      </c>
      <c r="S25" s="56">
        <v>0.51041666666666663</v>
      </c>
      <c r="T25" s="19">
        <v>80</v>
      </c>
      <c r="U25" s="48" t="s">
        <v>264</v>
      </c>
      <c r="V25" s="48" t="s">
        <v>264</v>
      </c>
      <c r="W25" s="48" t="s">
        <v>264</v>
      </c>
      <c r="X25" s="48" t="s">
        <v>264</v>
      </c>
      <c r="Y25" s="48" t="s">
        <v>264</v>
      </c>
      <c r="Z25" s="48" t="s">
        <v>264</v>
      </c>
      <c r="AA25" s="49"/>
    </row>
    <row r="26" spans="1:27" x14ac:dyDescent="0.35">
      <c r="A26" s="20">
        <v>12</v>
      </c>
      <c r="B26" s="20">
        <v>3</v>
      </c>
      <c r="C26" s="20" t="s">
        <v>17</v>
      </c>
      <c r="D26" s="20">
        <v>83</v>
      </c>
      <c r="E26" s="20" t="s">
        <v>80</v>
      </c>
      <c r="F26" s="20" t="s">
        <v>19</v>
      </c>
      <c r="G26" s="20" t="s">
        <v>20</v>
      </c>
      <c r="H26" s="20" t="s">
        <v>25</v>
      </c>
      <c r="I26" s="20" t="s">
        <v>35</v>
      </c>
      <c r="J26" s="20" t="s">
        <v>23</v>
      </c>
      <c r="K26" s="20">
        <v>2</v>
      </c>
      <c r="L26" s="20">
        <v>5</v>
      </c>
      <c r="M26" s="18" t="b">
        <v>1</v>
      </c>
      <c r="N26" s="20"/>
      <c r="O26" s="23"/>
      <c r="P26" t="s">
        <v>249</v>
      </c>
      <c r="Q26">
        <v>1</v>
      </c>
      <c r="R26" s="21">
        <v>44482</v>
      </c>
      <c r="S26" s="55">
        <v>0.51041666666666663</v>
      </c>
      <c r="T26" s="22">
        <v>84</v>
      </c>
      <c r="U26" s="48" t="s">
        <v>264</v>
      </c>
      <c r="V26" s="48" t="s">
        <v>264</v>
      </c>
      <c r="W26" s="48" t="s">
        <v>264</v>
      </c>
      <c r="X26" s="48" t="s">
        <v>264</v>
      </c>
      <c r="Y26" s="48" t="s">
        <v>264</v>
      </c>
      <c r="Z26" s="48" t="s">
        <v>264</v>
      </c>
      <c r="AA26" s="49"/>
    </row>
    <row r="27" spans="1:27" x14ac:dyDescent="0.35">
      <c r="A27" s="16">
        <v>14</v>
      </c>
      <c r="B27" s="16">
        <v>3</v>
      </c>
      <c r="C27" s="16" t="s">
        <v>17</v>
      </c>
      <c r="D27" s="16">
        <v>87</v>
      </c>
      <c r="E27" s="16" t="s">
        <v>82</v>
      </c>
      <c r="F27" s="16" t="s">
        <v>19</v>
      </c>
      <c r="G27" s="16" t="s">
        <v>39</v>
      </c>
      <c r="H27" s="16" t="s">
        <v>25</v>
      </c>
      <c r="I27" s="16" t="s">
        <v>35</v>
      </c>
      <c r="J27" s="16" t="s">
        <v>23</v>
      </c>
      <c r="K27" s="16">
        <v>2</v>
      </c>
      <c r="L27" s="16">
        <v>5</v>
      </c>
      <c r="M27" s="18" t="b">
        <v>1</v>
      </c>
      <c r="N27" s="16"/>
      <c r="O27" s="24"/>
      <c r="P27" t="s">
        <v>249</v>
      </c>
      <c r="Q27">
        <v>9</v>
      </c>
      <c r="R27" s="17">
        <v>44482</v>
      </c>
      <c r="S27" s="56">
        <v>0.51041666666666663</v>
      </c>
      <c r="T27" s="19">
        <v>88</v>
      </c>
      <c r="U27" s="48" t="s">
        <v>264</v>
      </c>
      <c r="V27" s="48" t="s">
        <v>264</v>
      </c>
      <c r="W27" s="48" t="s">
        <v>264</v>
      </c>
      <c r="X27" s="48" t="s">
        <v>264</v>
      </c>
      <c r="Y27" s="48" t="s">
        <v>264</v>
      </c>
      <c r="Z27" s="48" t="s">
        <v>264</v>
      </c>
      <c r="AA27" s="49"/>
    </row>
    <row r="28" spans="1:27" x14ac:dyDescent="0.35">
      <c r="A28" s="20">
        <v>16</v>
      </c>
      <c r="B28" s="20">
        <v>3</v>
      </c>
      <c r="C28" s="20" t="s">
        <v>17</v>
      </c>
      <c r="D28" s="20">
        <v>91</v>
      </c>
      <c r="E28" s="20" t="s">
        <v>84</v>
      </c>
      <c r="F28" s="20" t="s">
        <v>19</v>
      </c>
      <c r="G28" s="20" t="s">
        <v>39</v>
      </c>
      <c r="H28" s="20" t="s">
        <v>21</v>
      </c>
      <c r="I28" s="20" t="s">
        <v>35</v>
      </c>
      <c r="J28" s="20" t="s">
        <v>23</v>
      </c>
      <c r="K28" s="20">
        <v>2</v>
      </c>
      <c r="L28" s="20">
        <v>6</v>
      </c>
      <c r="M28" s="18" t="b">
        <v>1</v>
      </c>
      <c r="N28" s="20"/>
      <c r="O28" s="23"/>
      <c r="P28" t="s">
        <v>249</v>
      </c>
      <c r="Q28">
        <v>15</v>
      </c>
      <c r="R28" s="21">
        <v>44482</v>
      </c>
      <c r="S28" s="55">
        <v>0.51041666666666663</v>
      </c>
      <c r="T28" s="22">
        <v>92</v>
      </c>
      <c r="U28" s="48" t="s">
        <v>264</v>
      </c>
      <c r="V28" s="48" t="s">
        <v>264</v>
      </c>
      <c r="W28" s="48" t="s">
        <v>264</v>
      </c>
      <c r="X28" s="48" t="s">
        <v>264</v>
      </c>
      <c r="Y28" s="48" t="s">
        <v>264</v>
      </c>
      <c r="Z28" s="48" t="s">
        <v>264</v>
      </c>
      <c r="AA28" s="49"/>
    </row>
    <row r="29" spans="1:27" x14ac:dyDescent="0.35">
      <c r="A29" s="16">
        <v>17</v>
      </c>
      <c r="B29" s="16">
        <v>3</v>
      </c>
      <c r="C29" s="16" t="s">
        <v>17</v>
      </c>
      <c r="D29" s="16">
        <v>93</v>
      </c>
      <c r="E29" s="16" t="s">
        <v>85</v>
      </c>
      <c r="F29" s="16" t="s">
        <v>19</v>
      </c>
      <c r="G29" s="16" t="s">
        <v>20</v>
      </c>
      <c r="H29" s="16" t="s">
        <v>21</v>
      </c>
      <c r="I29" s="16" t="s">
        <v>35</v>
      </c>
      <c r="J29" s="16" t="s">
        <v>23</v>
      </c>
      <c r="K29" s="16">
        <v>2</v>
      </c>
      <c r="L29" s="16">
        <v>6</v>
      </c>
      <c r="M29" s="18" t="b">
        <v>1</v>
      </c>
      <c r="N29" s="16"/>
      <c r="O29" s="24"/>
      <c r="P29" t="s">
        <v>249</v>
      </c>
      <c r="Q29">
        <v>8</v>
      </c>
      <c r="R29" s="17">
        <v>44483</v>
      </c>
      <c r="S29" s="56">
        <v>0.34375</v>
      </c>
      <c r="T29" s="19">
        <v>94</v>
      </c>
      <c r="U29" s="48" t="s">
        <v>264</v>
      </c>
      <c r="V29" s="48" t="s">
        <v>264</v>
      </c>
      <c r="W29" s="48" t="s">
        <v>264</v>
      </c>
      <c r="X29" s="48" t="s">
        <v>264</v>
      </c>
      <c r="Y29" s="48" t="s">
        <v>264</v>
      </c>
      <c r="Z29" s="48" t="s">
        <v>264</v>
      </c>
      <c r="AA29" s="49"/>
    </row>
    <row r="30" spans="1:27" x14ac:dyDescent="0.35">
      <c r="A30" s="20">
        <v>19</v>
      </c>
      <c r="B30" s="20">
        <v>3</v>
      </c>
      <c r="C30" s="20" t="s">
        <v>17</v>
      </c>
      <c r="D30" s="20">
        <v>97</v>
      </c>
      <c r="E30" s="20" t="s">
        <v>87</v>
      </c>
      <c r="F30" s="20" t="s">
        <v>19</v>
      </c>
      <c r="G30" s="20" t="s">
        <v>20</v>
      </c>
      <c r="H30" s="20" t="s">
        <v>25</v>
      </c>
      <c r="I30" s="20" t="s">
        <v>35</v>
      </c>
      <c r="J30" s="20" t="s">
        <v>23</v>
      </c>
      <c r="K30" s="20">
        <v>2</v>
      </c>
      <c r="L30" s="20">
        <v>6</v>
      </c>
      <c r="M30" s="18" t="b">
        <v>1</v>
      </c>
      <c r="N30" s="20" t="s">
        <v>89</v>
      </c>
      <c r="O30" s="23" t="s">
        <v>220</v>
      </c>
      <c r="R30" s="21">
        <v>44483</v>
      </c>
      <c r="S30" s="55">
        <v>0.72916666666666663</v>
      </c>
      <c r="T30" s="22">
        <v>98</v>
      </c>
      <c r="U30" s="48" t="s">
        <v>264</v>
      </c>
      <c r="V30" s="48" t="s">
        <v>264</v>
      </c>
      <c r="W30" s="48" t="s">
        <v>264</v>
      </c>
      <c r="X30" s="48" t="s">
        <v>264</v>
      </c>
      <c r="Y30" s="48" t="s">
        <v>264</v>
      </c>
      <c r="Z30" s="48" t="s">
        <v>264</v>
      </c>
      <c r="AA30" s="49"/>
    </row>
    <row r="31" spans="1:27" x14ac:dyDescent="0.35">
      <c r="A31" s="16">
        <v>20</v>
      </c>
      <c r="B31" s="16">
        <v>3</v>
      </c>
      <c r="C31" s="16" t="s">
        <v>17</v>
      </c>
      <c r="D31" s="16">
        <v>99</v>
      </c>
      <c r="E31" s="16" t="s">
        <v>90</v>
      </c>
      <c r="F31" s="16" t="s">
        <v>19</v>
      </c>
      <c r="G31" s="16" t="s">
        <v>39</v>
      </c>
      <c r="H31" s="16" t="s">
        <v>25</v>
      </c>
      <c r="I31" s="16" t="s">
        <v>35</v>
      </c>
      <c r="J31" s="16" t="s">
        <v>23</v>
      </c>
      <c r="K31" s="16">
        <v>2</v>
      </c>
      <c r="L31" s="16">
        <v>6</v>
      </c>
      <c r="M31" s="18" t="b">
        <v>1</v>
      </c>
      <c r="N31" s="16"/>
      <c r="O31" s="24"/>
      <c r="P31" t="s">
        <v>249</v>
      </c>
      <c r="Q31">
        <v>11</v>
      </c>
      <c r="R31" s="17">
        <v>44483</v>
      </c>
      <c r="S31" s="56">
        <v>0.34375</v>
      </c>
      <c r="T31" s="19">
        <v>100</v>
      </c>
      <c r="U31" s="48" t="s">
        <v>264</v>
      </c>
      <c r="V31" s="48" t="s">
        <v>264</v>
      </c>
      <c r="W31" s="48" t="s">
        <v>264</v>
      </c>
      <c r="X31" s="48" t="s">
        <v>264</v>
      </c>
      <c r="Y31" s="48" t="s">
        <v>264</v>
      </c>
      <c r="Z31" s="48" t="s">
        <v>264</v>
      </c>
      <c r="AA31" s="49"/>
    </row>
    <row r="32" spans="1:27" x14ac:dyDescent="0.35">
      <c r="A32" s="20">
        <v>1</v>
      </c>
      <c r="B32" s="20">
        <v>2</v>
      </c>
      <c r="C32" s="20" t="s">
        <v>17</v>
      </c>
      <c r="D32" s="20">
        <v>103</v>
      </c>
      <c r="E32" s="20" t="s">
        <v>92</v>
      </c>
      <c r="F32" s="20" t="s">
        <v>19</v>
      </c>
      <c r="G32" s="20" t="s">
        <v>39</v>
      </c>
      <c r="H32" s="20" t="s">
        <v>25</v>
      </c>
      <c r="I32" s="20" t="s">
        <v>35</v>
      </c>
      <c r="J32" s="20" t="s">
        <v>23</v>
      </c>
      <c r="K32" s="20">
        <v>2</v>
      </c>
      <c r="L32" s="20">
        <v>7</v>
      </c>
      <c r="M32" s="18" t="b">
        <v>1</v>
      </c>
      <c r="N32" s="20"/>
      <c r="O32" s="23"/>
      <c r="P32" t="s">
        <v>249</v>
      </c>
      <c r="Q32">
        <v>10</v>
      </c>
      <c r="R32" s="21">
        <v>44483</v>
      </c>
      <c r="S32" s="55">
        <v>0.34375</v>
      </c>
      <c r="T32" s="22">
        <v>104</v>
      </c>
      <c r="U32" s="48" t="s">
        <v>264</v>
      </c>
      <c r="V32" s="48"/>
      <c r="W32" s="48" t="s">
        <v>264</v>
      </c>
      <c r="X32" s="48" t="s">
        <v>264</v>
      </c>
      <c r="Y32" s="48" t="s">
        <v>264</v>
      </c>
      <c r="Z32" s="48" t="s">
        <v>264</v>
      </c>
      <c r="AA32" s="49"/>
    </row>
    <row r="33" spans="1:27" x14ac:dyDescent="0.35">
      <c r="A33" s="16">
        <v>2</v>
      </c>
      <c r="B33" s="16">
        <v>2</v>
      </c>
      <c r="C33" s="16" t="s">
        <v>17</v>
      </c>
      <c r="D33" s="16">
        <v>105</v>
      </c>
      <c r="E33" s="16" t="s">
        <v>93</v>
      </c>
      <c r="F33" s="16" t="s">
        <v>19</v>
      </c>
      <c r="G33" s="16" t="s">
        <v>39</v>
      </c>
      <c r="H33" s="16" t="s">
        <v>21</v>
      </c>
      <c r="I33" s="16" t="s">
        <v>35</v>
      </c>
      <c r="J33" s="16" t="s">
        <v>23</v>
      </c>
      <c r="K33" s="16">
        <v>2</v>
      </c>
      <c r="L33" s="16">
        <v>7</v>
      </c>
      <c r="M33" s="18" t="b">
        <v>1</v>
      </c>
      <c r="N33" s="16"/>
      <c r="O33" s="24"/>
      <c r="P33" t="s">
        <v>249</v>
      </c>
      <c r="Q33">
        <v>14</v>
      </c>
      <c r="R33" s="17">
        <v>44483</v>
      </c>
      <c r="S33" s="56">
        <v>0.34375</v>
      </c>
      <c r="T33" s="19">
        <v>106</v>
      </c>
      <c r="U33" s="48" t="s">
        <v>264</v>
      </c>
      <c r="V33" s="48" t="s">
        <v>264</v>
      </c>
      <c r="W33" s="48" t="s">
        <v>264</v>
      </c>
      <c r="X33" s="48" t="s">
        <v>264</v>
      </c>
      <c r="Y33" s="48" t="s">
        <v>264</v>
      </c>
      <c r="Z33" s="48" t="s">
        <v>264</v>
      </c>
      <c r="AA33" s="49"/>
    </row>
    <row r="34" spans="1:27" x14ac:dyDescent="0.35">
      <c r="A34" s="20">
        <v>4</v>
      </c>
      <c r="B34" s="20">
        <v>2</v>
      </c>
      <c r="C34" s="20" t="s">
        <v>17</v>
      </c>
      <c r="D34" s="20">
        <v>109</v>
      </c>
      <c r="E34" s="20" t="s">
        <v>95</v>
      </c>
      <c r="F34" s="20" t="s">
        <v>19</v>
      </c>
      <c r="G34" s="20" t="s">
        <v>20</v>
      </c>
      <c r="H34" s="20" t="s">
        <v>21</v>
      </c>
      <c r="I34" s="20" t="s">
        <v>35</v>
      </c>
      <c r="J34" s="20" t="s">
        <v>23</v>
      </c>
      <c r="K34" s="20">
        <v>2</v>
      </c>
      <c r="L34" s="20">
        <v>7</v>
      </c>
      <c r="M34" s="18" t="b">
        <v>1</v>
      </c>
      <c r="N34" s="20"/>
      <c r="O34" s="23"/>
      <c r="P34" t="s">
        <v>249</v>
      </c>
      <c r="Q34">
        <v>7</v>
      </c>
      <c r="R34" s="21">
        <v>44483</v>
      </c>
      <c r="S34" s="55">
        <v>0.4375</v>
      </c>
      <c r="T34" s="22">
        <v>110</v>
      </c>
      <c r="U34" s="48" t="s">
        <v>264</v>
      </c>
      <c r="V34" s="48" t="s">
        <v>264</v>
      </c>
      <c r="W34" s="48" t="s">
        <v>264</v>
      </c>
      <c r="X34" s="48" t="s">
        <v>264</v>
      </c>
      <c r="Y34" s="48" t="s">
        <v>264</v>
      </c>
      <c r="Z34" s="48" t="s">
        <v>264</v>
      </c>
      <c r="AA34" s="49"/>
    </row>
    <row r="35" spans="1:27" x14ac:dyDescent="0.35">
      <c r="A35" s="16">
        <v>5</v>
      </c>
      <c r="B35" s="16">
        <v>2</v>
      </c>
      <c r="C35" s="16" t="s">
        <v>17</v>
      </c>
      <c r="D35" s="16">
        <v>111</v>
      </c>
      <c r="E35" s="16" t="s">
        <v>96</v>
      </c>
      <c r="F35" s="16" t="s">
        <v>19</v>
      </c>
      <c r="G35" s="16" t="s">
        <v>20</v>
      </c>
      <c r="H35" s="16" t="s">
        <v>25</v>
      </c>
      <c r="I35" s="16" t="s">
        <v>35</v>
      </c>
      <c r="J35" s="16" t="s">
        <v>23</v>
      </c>
      <c r="K35" s="16">
        <v>2</v>
      </c>
      <c r="L35" s="16">
        <v>7</v>
      </c>
      <c r="M35" s="18" t="b">
        <v>1</v>
      </c>
      <c r="N35" s="16"/>
      <c r="O35" s="24"/>
      <c r="P35" t="s">
        <v>249</v>
      </c>
      <c r="Q35">
        <v>3</v>
      </c>
      <c r="R35" s="17">
        <v>44483</v>
      </c>
      <c r="S35" s="56">
        <v>0.4375</v>
      </c>
      <c r="T35" s="19">
        <v>112</v>
      </c>
      <c r="U35" s="48" t="s">
        <v>264</v>
      </c>
      <c r="V35" s="48" t="s">
        <v>264</v>
      </c>
      <c r="W35" s="48" t="s">
        <v>264</v>
      </c>
      <c r="X35" s="48" t="s">
        <v>264</v>
      </c>
      <c r="Y35" s="48" t="s">
        <v>264</v>
      </c>
      <c r="Z35" s="48" t="s">
        <v>264</v>
      </c>
      <c r="AA35" s="49"/>
    </row>
    <row r="36" spans="1:27" x14ac:dyDescent="0.35">
      <c r="A36" s="20">
        <v>7</v>
      </c>
      <c r="B36" s="20">
        <v>2</v>
      </c>
      <c r="C36" s="20" t="s">
        <v>17</v>
      </c>
      <c r="D36" s="20">
        <v>115</v>
      </c>
      <c r="E36" s="20" t="s">
        <v>100</v>
      </c>
      <c r="F36" s="20" t="s">
        <v>19</v>
      </c>
      <c r="G36" s="20" t="s">
        <v>39</v>
      </c>
      <c r="H36" s="20" t="s">
        <v>25</v>
      </c>
      <c r="I36" s="20" t="s">
        <v>35</v>
      </c>
      <c r="J36" s="20" t="s">
        <v>23</v>
      </c>
      <c r="K36" s="20">
        <v>2</v>
      </c>
      <c r="L36" s="20">
        <v>8</v>
      </c>
      <c r="M36" s="18" t="b">
        <v>1</v>
      </c>
      <c r="N36" s="20"/>
      <c r="O36" s="23"/>
      <c r="P36" t="s">
        <v>249</v>
      </c>
      <c r="Q36">
        <v>12</v>
      </c>
      <c r="R36" s="21">
        <v>44483</v>
      </c>
      <c r="S36" s="55">
        <v>0.4375</v>
      </c>
      <c r="T36" s="22">
        <v>116</v>
      </c>
      <c r="U36" s="48" t="s">
        <v>264</v>
      </c>
      <c r="V36" s="48" t="s">
        <v>264</v>
      </c>
      <c r="W36" s="48" t="s">
        <v>264</v>
      </c>
      <c r="X36" s="48" t="s">
        <v>264</v>
      </c>
      <c r="Y36" s="48" t="s">
        <v>264</v>
      </c>
      <c r="Z36" s="48" t="s">
        <v>264</v>
      </c>
      <c r="AA36" s="49"/>
    </row>
    <row r="37" spans="1:27" x14ac:dyDescent="0.35">
      <c r="A37" s="16">
        <v>9</v>
      </c>
      <c r="B37" s="16">
        <v>2</v>
      </c>
      <c r="C37" s="16" t="s">
        <v>17</v>
      </c>
      <c r="D37" s="16">
        <v>119</v>
      </c>
      <c r="E37" s="16" t="s">
        <v>102</v>
      </c>
      <c r="F37" s="16" t="s">
        <v>19</v>
      </c>
      <c r="G37" s="16" t="s">
        <v>39</v>
      </c>
      <c r="H37" s="16" t="s">
        <v>21</v>
      </c>
      <c r="I37" s="16" t="s">
        <v>35</v>
      </c>
      <c r="J37" s="16" t="s">
        <v>23</v>
      </c>
      <c r="K37" s="16">
        <v>2</v>
      </c>
      <c r="L37" s="16">
        <v>8</v>
      </c>
      <c r="M37" s="18" t="b">
        <v>1</v>
      </c>
      <c r="N37" s="16"/>
      <c r="O37" s="24"/>
      <c r="P37" t="s">
        <v>249</v>
      </c>
      <c r="Q37">
        <v>13</v>
      </c>
      <c r="R37" s="17">
        <v>44483</v>
      </c>
      <c r="S37" s="56">
        <v>0.42708333333333331</v>
      </c>
      <c r="T37" s="19">
        <v>120</v>
      </c>
      <c r="U37" s="48" t="s">
        <v>264</v>
      </c>
      <c r="V37" s="48" t="s">
        <v>264</v>
      </c>
      <c r="W37" s="48" t="s">
        <v>264</v>
      </c>
      <c r="X37" s="48" t="s">
        <v>264</v>
      </c>
      <c r="Y37" s="48" t="s">
        <v>264</v>
      </c>
      <c r="Z37" s="48" t="s">
        <v>264</v>
      </c>
      <c r="AA37" s="49"/>
    </row>
    <row r="38" spans="1:27" x14ac:dyDescent="0.35">
      <c r="A38" s="20">
        <v>13</v>
      </c>
      <c r="B38" s="20">
        <v>2</v>
      </c>
      <c r="C38" s="20" t="s">
        <v>17</v>
      </c>
      <c r="D38" s="20">
        <v>127</v>
      </c>
      <c r="E38" s="20" t="s">
        <v>106</v>
      </c>
      <c r="F38" s="20" t="s">
        <v>19</v>
      </c>
      <c r="G38" s="20" t="s">
        <v>20</v>
      </c>
      <c r="H38" s="20" t="s">
        <v>21</v>
      </c>
      <c r="I38" s="20" t="s">
        <v>35</v>
      </c>
      <c r="J38" s="20" t="s">
        <v>23</v>
      </c>
      <c r="K38" s="20">
        <v>2</v>
      </c>
      <c r="L38" s="20">
        <v>8</v>
      </c>
      <c r="M38" s="18" t="b">
        <v>1</v>
      </c>
      <c r="N38" s="20"/>
      <c r="O38" s="23"/>
      <c r="P38" t="s">
        <v>249</v>
      </c>
      <c r="Q38">
        <v>6</v>
      </c>
      <c r="R38" s="21">
        <v>44483</v>
      </c>
      <c r="S38" s="55">
        <v>0.42708333333333331</v>
      </c>
      <c r="T38" s="22">
        <v>128</v>
      </c>
      <c r="U38" s="48" t="s">
        <v>264</v>
      </c>
      <c r="V38" s="48"/>
      <c r="W38" s="48" t="s">
        <v>264</v>
      </c>
      <c r="X38" s="48" t="s">
        <v>264</v>
      </c>
      <c r="Y38" s="48" t="s">
        <v>264</v>
      </c>
      <c r="Z38" s="48" t="s">
        <v>264</v>
      </c>
      <c r="AA38" s="49"/>
    </row>
    <row r="39" spans="1:27" x14ac:dyDescent="0.35">
      <c r="A39" s="16">
        <v>15</v>
      </c>
      <c r="B39" s="16">
        <v>2</v>
      </c>
      <c r="C39" s="16" t="s">
        <v>17</v>
      </c>
      <c r="D39" s="16">
        <v>131</v>
      </c>
      <c r="E39" s="16" t="s">
        <v>108</v>
      </c>
      <c r="F39" s="16" t="s">
        <v>19</v>
      </c>
      <c r="G39" s="16" t="s">
        <v>20</v>
      </c>
      <c r="H39" s="16" t="s">
        <v>25</v>
      </c>
      <c r="I39" s="16" t="s">
        <v>35</v>
      </c>
      <c r="J39" s="16" t="s">
        <v>23</v>
      </c>
      <c r="K39" s="16">
        <v>2</v>
      </c>
      <c r="L39" s="16">
        <v>8</v>
      </c>
      <c r="M39" s="18" t="b">
        <v>1</v>
      </c>
      <c r="N39" s="16"/>
      <c r="O39" s="24"/>
      <c r="P39" t="s">
        <v>249</v>
      </c>
      <c r="Q39">
        <v>2</v>
      </c>
      <c r="R39" s="17">
        <v>44483</v>
      </c>
      <c r="S39" s="56">
        <v>0.42708333333333331</v>
      </c>
      <c r="T39" s="19">
        <v>132</v>
      </c>
      <c r="U39" s="48" t="s">
        <v>264</v>
      </c>
      <c r="V39" s="48" t="s">
        <v>264</v>
      </c>
      <c r="W39" s="48" t="s">
        <v>264</v>
      </c>
      <c r="X39" s="48" t="s">
        <v>264</v>
      </c>
      <c r="Y39" s="48" t="s">
        <v>264</v>
      </c>
      <c r="Z39" s="48" t="s">
        <v>264</v>
      </c>
      <c r="AA39" s="49"/>
    </row>
    <row r="40" spans="1:27" x14ac:dyDescent="0.35">
      <c r="A40" s="20">
        <v>16</v>
      </c>
      <c r="B40" s="20">
        <v>2</v>
      </c>
      <c r="C40" s="20" t="s">
        <v>17</v>
      </c>
      <c r="D40" s="20">
        <v>133</v>
      </c>
      <c r="E40" s="20" t="s">
        <v>109</v>
      </c>
      <c r="F40" s="20" t="s">
        <v>19</v>
      </c>
      <c r="G40" s="20" t="s">
        <v>20</v>
      </c>
      <c r="H40" s="20" t="s">
        <v>21</v>
      </c>
      <c r="I40" s="20" t="s">
        <v>35</v>
      </c>
      <c r="J40" s="20"/>
      <c r="K40" s="20">
        <v>2</v>
      </c>
      <c r="L40" s="20">
        <v>5</v>
      </c>
      <c r="M40" s="18" t="b">
        <v>0</v>
      </c>
      <c r="N40" s="20" t="s">
        <v>110</v>
      </c>
      <c r="O40" s="23" t="s">
        <v>220</v>
      </c>
      <c r="R40" s="21">
        <v>44483</v>
      </c>
      <c r="S40" s="55">
        <v>0.72916666666666663</v>
      </c>
      <c r="T40" s="22">
        <v>133</v>
      </c>
      <c r="U40" s="48" t="s">
        <v>264</v>
      </c>
      <c r="V40" s="48" t="s">
        <v>264</v>
      </c>
      <c r="W40" s="48" t="s">
        <v>264</v>
      </c>
      <c r="X40" s="48" t="s">
        <v>264</v>
      </c>
      <c r="Y40" s="48" t="s">
        <v>264</v>
      </c>
      <c r="Z40" s="48" t="s">
        <v>264</v>
      </c>
      <c r="AA40" s="49"/>
    </row>
    <row r="41" spans="1:27" x14ac:dyDescent="0.35">
      <c r="A41" s="16">
        <v>18</v>
      </c>
      <c r="B41" s="16">
        <v>2</v>
      </c>
      <c r="C41" s="16" t="s">
        <v>17</v>
      </c>
      <c r="D41" s="16">
        <v>137</v>
      </c>
      <c r="E41" s="16" t="s">
        <v>113</v>
      </c>
      <c r="F41" s="16" t="s">
        <v>19</v>
      </c>
      <c r="G41" s="16" t="s">
        <v>20</v>
      </c>
      <c r="H41" s="16" t="s">
        <v>25</v>
      </c>
      <c r="I41" s="16" t="s">
        <v>35</v>
      </c>
      <c r="J41" s="16" t="s">
        <v>23</v>
      </c>
      <c r="K41" s="16">
        <v>2</v>
      </c>
      <c r="L41" s="16">
        <v>3</v>
      </c>
      <c r="M41" s="18" t="b">
        <v>1</v>
      </c>
      <c r="N41" s="16"/>
      <c r="O41" s="24"/>
      <c r="P41" t="s">
        <v>249</v>
      </c>
      <c r="Q41">
        <v>4</v>
      </c>
      <c r="R41" s="17">
        <v>44483</v>
      </c>
      <c r="S41" s="56">
        <v>0.42708333333333331</v>
      </c>
      <c r="T41" s="19">
        <v>138</v>
      </c>
      <c r="U41" s="48" t="s">
        <v>264</v>
      </c>
      <c r="V41" s="48" t="s">
        <v>264</v>
      </c>
      <c r="W41" s="48" t="s">
        <v>264</v>
      </c>
      <c r="X41" s="48" t="s">
        <v>264</v>
      </c>
      <c r="Y41" s="48" t="s">
        <v>264</v>
      </c>
      <c r="Z41" s="48" t="s">
        <v>264</v>
      </c>
      <c r="AA41" s="49"/>
    </row>
    <row r="42" spans="1:27" x14ac:dyDescent="0.35">
      <c r="A42" s="20">
        <v>19</v>
      </c>
      <c r="B42" s="20">
        <v>2</v>
      </c>
      <c r="C42" s="20" t="s">
        <v>17</v>
      </c>
      <c r="D42" s="20">
        <v>139</v>
      </c>
      <c r="E42" s="20" t="s">
        <v>114</v>
      </c>
      <c r="F42" s="20" t="s">
        <v>19</v>
      </c>
      <c r="G42" s="20" t="s">
        <v>20</v>
      </c>
      <c r="H42" s="20" t="s">
        <v>21</v>
      </c>
      <c r="I42" s="20" t="s">
        <v>35</v>
      </c>
      <c r="J42" s="20" t="s">
        <v>27</v>
      </c>
      <c r="K42" s="20">
        <v>2</v>
      </c>
      <c r="L42" s="20">
        <v>3</v>
      </c>
      <c r="M42" s="18" t="b">
        <v>1</v>
      </c>
      <c r="N42" s="20"/>
      <c r="O42" s="23"/>
      <c r="P42" t="s">
        <v>249</v>
      </c>
      <c r="Q42">
        <v>5</v>
      </c>
      <c r="R42" s="21">
        <v>44483</v>
      </c>
      <c r="S42" s="55">
        <v>0.42708333333333331</v>
      </c>
      <c r="T42" s="22">
        <v>140</v>
      </c>
      <c r="U42" s="48" t="s">
        <v>264</v>
      </c>
      <c r="V42" s="48" t="s">
        <v>264</v>
      </c>
      <c r="W42" s="48" t="s">
        <v>264</v>
      </c>
      <c r="X42" s="48" t="s">
        <v>264</v>
      </c>
      <c r="Y42" s="48" t="s">
        <v>264</v>
      </c>
      <c r="Z42" s="48" t="s">
        <v>264</v>
      </c>
      <c r="AA42" s="49"/>
    </row>
    <row r="43" spans="1:27" x14ac:dyDescent="0.35">
      <c r="A43" s="16">
        <v>1</v>
      </c>
      <c r="B43" s="16">
        <v>4</v>
      </c>
      <c r="C43" s="16" t="s">
        <v>117</v>
      </c>
      <c r="D43" s="16">
        <v>1017</v>
      </c>
      <c r="E43" s="16" t="s">
        <v>130</v>
      </c>
      <c r="F43" s="16" t="s">
        <v>121</v>
      </c>
      <c r="G43" s="16" t="s">
        <v>20</v>
      </c>
      <c r="H43" s="16" t="s">
        <v>21</v>
      </c>
      <c r="I43" s="16" t="s">
        <v>35</v>
      </c>
      <c r="J43" s="16" t="s">
        <v>23</v>
      </c>
      <c r="K43" s="16">
        <v>2</v>
      </c>
      <c r="L43" s="16">
        <v>1</v>
      </c>
      <c r="M43" s="18" t="b">
        <v>1</v>
      </c>
      <c r="N43" s="16"/>
      <c r="O43" s="24"/>
      <c r="P43" t="s">
        <v>249</v>
      </c>
      <c r="Q43">
        <v>21</v>
      </c>
      <c r="R43" s="17">
        <v>44481</v>
      </c>
      <c r="S43" s="56">
        <v>0.38541666666666669</v>
      </c>
      <c r="T43" s="19">
        <v>1018</v>
      </c>
      <c r="U43" s="48" t="s">
        <v>264</v>
      </c>
      <c r="V43" s="48" t="s">
        <v>264</v>
      </c>
      <c r="W43" s="48" t="s">
        <v>264</v>
      </c>
      <c r="X43" s="48" t="s">
        <v>264</v>
      </c>
      <c r="Y43" s="48" t="s">
        <v>264</v>
      </c>
      <c r="Z43" s="48" t="s">
        <v>264</v>
      </c>
      <c r="AA43" s="49"/>
    </row>
    <row r="44" spans="1:27" x14ac:dyDescent="0.35">
      <c r="A44" s="20">
        <v>2</v>
      </c>
      <c r="B44" s="20">
        <v>4</v>
      </c>
      <c r="C44" s="20" t="s">
        <v>117</v>
      </c>
      <c r="D44" s="20">
        <v>1019</v>
      </c>
      <c r="E44" s="20" t="s">
        <v>131</v>
      </c>
      <c r="F44" s="20" t="s">
        <v>121</v>
      </c>
      <c r="G44" s="20" t="s">
        <v>20</v>
      </c>
      <c r="H44" s="20" t="s">
        <v>25</v>
      </c>
      <c r="I44" s="20" t="s">
        <v>35</v>
      </c>
      <c r="J44" s="20" t="s">
        <v>23</v>
      </c>
      <c r="K44" s="20">
        <v>2</v>
      </c>
      <c r="L44" s="20">
        <v>1</v>
      </c>
      <c r="M44" s="18" t="b">
        <v>1</v>
      </c>
      <c r="N44" s="20"/>
      <c r="O44" s="23"/>
      <c r="P44" t="s">
        <v>249</v>
      </c>
      <c r="Q44">
        <v>17</v>
      </c>
      <c r="R44" s="21">
        <v>44481</v>
      </c>
      <c r="S44" s="55">
        <v>0.38541666666666669</v>
      </c>
      <c r="T44" s="22">
        <v>1020</v>
      </c>
      <c r="U44" s="48"/>
      <c r="V44" s="48" t="s">
        <v>264</v>
      </c>
      <c r="W44" s="48" t="s">
        <v>264</v>
      </c>
      <c r="X44" s="48" t="s">
        <v>264</v>
      </c>
      <c r="Y44" s="48" t="s">
        <v>264</v>
      </c>
      <c r="Z44" s="48" t="s">
        <v>264</v>
      </c>
      <c r="AA44" s="49"/>
    </row>
    <row r="45" spans="1:27" x14ac:dyDescent="0.35">
      <c r="A45" s="16">
        <v>4</v>
      </c>
      <c r="B45" s="16">
        <v>4</v>
      </c>
      <c r="C45" s="16" t="s">
        <v>117</v>
      </c>
      <c r="D45" s="16">
        <v>1023</v>
      </c>
      <c r="E45" s="16" t="s">
        <v>133</v>
      </c>
      <c r="F45" s="16" t="s">
        <v>121</v>
      </c>
      <c r="G45" s="16" t="s">
        <v>39</v>
      </c>
      <c r="H45" s="16" t="s">
        <v>25</v>
      </c>
      <c r="I45" s="16" t="s">
        <v>35</v>
      </c>
      <c r="J45" s="16" t="s">
        <v>23</v>
      </c>
      <c r="K45" s="16">
        <v>2</v>
      </c>
      <c r="L45" s="16">
        <v>1</v>
      </c>
      <c r="M45" s="18" t="b">
        <v>1</v>
      </c>
      <c r="N45" s="16"/>
      <c r="O45" s="24"/>
      <c r="P45" t="s">
        <v>249</v>
      </c>
      <c r="Q45">
        <v>32</v>
      </c>
      <c r="R45" s="17">
        <v>44481</v>
      </c>
      <c r="S45" s="56">
        <v>0.38541666666666669</v>
      </c>
      <c r="T45" s="19">
        <v>1024</v>
      </c>
      <c r="U45" s="48" t="s">
        <v>264</v>
      </c>
      <c r="V45" s="48" t="s">
        <v>264</v>
      </c>
      <c r="W45" s="48" t="s">
        <v>264</v>
      </c>
      <c r="X45" s="48" t="s">
        <v>264</v>
      </c>
      <c r="Y45" s="48" t="s">
        <v>264</v>
      </c>
      <c r="Z45" s="48" t="s">
        <v>264</v>
      </c>
      <c r="AA45" s="49"/>
    </row>
    <row r="46" spans="1:27" x14ac:dyDescent="0.35">
      <c r="A46" s="20">
        <v>5</v>
      </c>
      <c r="B46" s="20">
        <v>4</v>
      </c>
      <c r="C46" s="20" t="s">
        <v>117</v>
      </c>
      <c r="D46" s="20">
        <v>1025</v>
      </c>
      <c r="E46" s="20" t="s">
        <v>134</v>
      </c>
      <c r="F46" s="20" t="s">
        <v>121</v>
      </c>
      <c r="G46" s="20" t="s">
        <v>39</v>
      </c>
      <c r="H46" s="20" t="s">
        <v>21</v>
      </c>
      <c r="I46" s="20" t="s">
        <v>35</v>
      </c>
      <c r="J46" s="20" t="s">
        <v>23</v>
      </c>
      <c r="K46" s="20">
        <v>2</v>
      </c>
      <c r="L46" s="20">
        <v>1</v>
      </c>
      <c r="M46" s="18" t="b">
        <v>1</v>
      </c>
      <c r="N46" s="20"/>
      <c r="O46" s="23"/>
      <c r="P46" t="s">
        <v>249</v>
      </c>
      <c r="Q46">
        <v>25</v>
      </c>
      <c r="R46" s="21">
        <v>44481</v>
      </c>
      <c r="S46" s="55">
        <v>0.38541666666666669</v>
      </c>
      <c r="T46" s="22">
        <v>1026</v>
      </c>
      <c r="U46" s="48" t="s">
        <v>264</v>
      </c>
      <c r="V46" s="48" t="s">
        <v>264</v>
      </c>
      <c r="W46" s="48" t="s">
        <v>264</v>
      </c>
      <c r="X46" s="48" t="s">
        <v>264</v>
      </c>
      <c r="Y46" s="48" t="s">
        <v>264</v>
      </c>
      <c r="Z46" s="48" t="s">
        <v>264</v>
      </c>
      <c r="AA46" s="49"/>
    </row>
    <row r="47" spans="1:27" x14ac:dyDescent="0.35">
      <c r="A47" s="16">
        <v>6</v>
      </c>
      <c r="B47" s="16">
        <v>4</v>
      </c>
      <c r="C47" s="16" t="s">
        <v>117</v>
      </c>
      <c r="D47" s="16">
        <v>1027</v>
      </c>
      <c r="E47" s="16" t="s">
        <v>135</v>
      </c>
      <c r="F47" s="16" t="s">
        <v>121</v>
      </c>
      <c r="G47" s="16" t="s">
        <v>20</v>
      </c>
      <c r="H47" s="16" t="s">
        <v>21</v>
      </c>
      <c r="I47" s="16" t="s">
        <v>35</v>
      </c>
      <c r="J47" s="16" t="s">
        <v>23</v>
      </c>
      <c r="K47" s="16">
        <v>2</v>
      </c>
      <c r="L47" s="16">
        <v>2</v>
      </c>
      <c r="M47" s="18" t="b">
        <v>1</v>
      </c>
      <c r="N47" s="16"/>
      <c r="O47" s="24"/>
      <c r="P47" t="s">
        <v>249</v>
      </c>
      <c r="Q47">
        <v>22</v>
      </c>
      <c r="R47" s="17">
        <v>44481</v>
      </c>
      <c r="S47" s="56">
        <v>0.38541666666666669</v>
      </c>
      <c r="T47" s="19">
        <v>1028</v>
      </c>
      <c r="U47" s="48" t="s">
        <v>264</v>
      </c>
      <c r="V47" s="48" t="s">
        <v>264</v>
      </c>
      <c r="W47" s="48" t="s">
        <v>264</v>
      </c>
      <c r="X47" s="48" t="s">
        <v>264</v>
      </c>
      <c r="Y47" s="48" t="s">
        <v>264</v>
      </c>
      <c r="Z47" s="48" t="s">
        <v>264</v>
      </c>
      <c r="AA47" s="49"/>
    </row>
    <row r="48" spans="1:27" x14ac:dyDescent="0.35">
      <c r="A48" s="20">
        <v>7</v>
      </c>
      <c r="B48" s="20">
        <v>4</v>
      </c>
      <c r="C48" s="20" t="s">
        <v>117</v>
      </c>
      <c r="D48" s="20">
        <v>1029</v>
      </c>
      <c r="E48" s="20" t="s">
        <v>136</v>
      </c>
      <c r="F48" s="20" t="s">
        <v>121</v>
      </c>
      <c r="G48" s="20" t="s">
        <v>20</v>
      </c>
      <c r="H48" s="20" t="s">
        <v>25</v>
      </c>
      <c r="I48" s="20" t="s">
        <v>35</v>
      </c>
      <c r="J48" s="20" t="s">
        <v>23</v>
      </c>
      <c r="K48" s="20">
        <v>2</v>
      </c>
      <c r="L48" s="20">
        <v>2</v>
      </c>
      <c r="M48" s="18" t="b">
        <v>1</v>
      </c>
      <c r="N48" s="20"/>
      <c r="O48" s="23"/>
      <c r="P48" t="s">
        <v>249</v>
      </c>
      <c r="Q48">
        <v>18</v>
      </c>
      <c r="R48" s="21">
        <v>44481</v>
      </c>
      <c r="S48" s="55">
        <v>0.38541666666666669</v>
      </c>
      <c r="T48" s="22">
        <v>1030</v>
      </c>
      <c r="U48" s="48" t="s">
        <v>264</v>
      </c>
      <c r="V48" s="48" t="s">
        <v>264</v>
      </c>
      <c r="W48" s="48" t="s">
        <v>264</v>
      </c>
      <c r="X48" s="48" t="s">
        <v>264</v>
      </c>
      <c r="Y48" s="48" t="s">
        <v>264</v>
      </c>
      <c r="Z48" s="48" t="s">
        <v>264</v>
      </c>
      <c r="AA48" s="49"/>
    </row>
    <row r="49" spans="1:27" x14ac:dyDescent="0.35">
      <c r="A49" s="16">
        <v>9</v>
      </c>
      <c r="B49" s="16">
        <v>4</v>
      </c>
      <c r="C49" s="16" t="s">
        <v>117</v>
      </c>
      <c r="D49" s="16">
        <v>1033</v>
      </c>
      <c r="E49" s="16" t="s">
        <v>138</v>
      </c>
      <c r="F49" s="16" t="s">
        <v>121</v>
      </c>
      <c r="G49" s="16" t="s">
        <v>39</v>
      </c>
      <c r="H49" s="16" t="s">
        <v>25</v>
      </c>
      <c r="I49" s="16" t="s">
        <v>35</v>
      </c>
      <c r="J49" s="16" t="s">
        <v>23</v>
      </c>
      <c r="K49" s="16">
        <v>2</v>
      </c>
      <c r="L49" s="16">
        <v>2</v>
      </c>
      <c r="M49" s="18" t="b">
        <v>1</v>
      </c>
      <c r="N49" s="16"/>
      <c r="O49" s="24"/>
      <c r="P49" t="s">
        <v>249</v>
      </c>
      <c r="Q49">
        <v>30</v>
      </c>
      <c r="R49" s="17">
        <v>44481</v>
      </c>
      <c r="S49" s="56">
        <v>0.50694444444444442</v>
      </c>
      <c r="T49" s="19">
        <v>1034</v>
      </c>
      <c r="U49" s="48" t="s">
        <v>264</v>
      </c>
      <c r="V49" s="48" t="s">
        <v>264</v>
      </c>
      <c r="W49" s="48" t="s">
        <v>264</v>
      </c>
      <c r="X49" s="48" t="s">
        <v>264</v>
      </c>
      <c r="Y49" s="48" t="s">
        <v>264</v>
      </c>
      <c r="Z49" s="48" t="s">
        <v>264</v>
      </c>
      <c r="AA49" s="49"/>
    </row>
    <row r="50" spans="1:27" x14ac:dyDescent="0.35">
      <c r="A50" s="20">
        <v>12</v>
      </c>
      <c r="B50" s="20">
        <v>4</v>
      </c>
      <c r="C50" s="20" t="s">
        <v>117</v>
      </c>
      <c r="D50" s="20">
        <v>1039</v>
      </c>
      <c r="E50" s="20" t="s">
        <v>143</v>
      </c>
      <c r="F50" s="20" t="s">
        <v>121</v>
      </c>
      <c r="G50" s="20" t="s">
        <v>20</v>
      </c>
      <c r="H50" s="20" t="s">
        <v>21</v>
      </c>
      <c r="I50" s="20" t="s">
        <v>35</v>
      </c>
      <c r="J50" s="20" t="s">
        <v>23</v>
      </c>
      <c r="K50" s="20">
        <v>2</v>
      </c>
      <c r="L50" s="20">
        <v>3</v>
      </c>
      <c r="M50" s="18" t="b">
        <v>1</v>
      </c>
      <c r="N50" s="20"/>
      <c r="O50" s="23"/>
      <c r="P50" t="s">
        <v>249</v>
      </c>
      <c r="Q50">
        <v>24</v>
      </c>
      <c r="R50" s="21">
        <v>44481</v>
      </c>
      <c r="S50" s="55">
        <v>0.50694444444444442</v>
      </c>
      <c r="T50" s="22">
        <v>1040</v>
      </c>
      <c r="U50" s="48"/>
      <c r="V50" s="48" t="s">
        <v>264</v>
      </c>
      <c r="W50" s="48" t="s">
        <v>264</v>
      </c>
      <c r="X50" s="48" t="s">
        <v>264</v>
      </c>
      <c r="Y50" s="48" t="s">
        <v>264</v>
      </c>
      <c r="Z50" s="48" t="s">
        <v>264</v>
      </c>
      <c r="AA50" s="49"/>
    </row>
    <row r="51" spans="1:27" x14ac:dyDescent="0.35">
      <c r="A51" s="16">
        <v>13</v>
      </c>
      <c r="B51" s="16">
        <v>4</v>
      </c>
      <c r="C51" s="16" t="s">
        <v>117</v>
      </c>
      <c r="D51" s="16">
        <v>1041</v>
      </c>
      <c r="E51" s="16" t="s">
        <v>144</v>
      </c>
      <c r="F51" s="16" t="s">
        <v>121</v>
      </c>
      <c r="G51" s="16" t="s">
        <v>39</v>
      </c>
      <c r="H51" s="16" t="s">
        <v>21</v>
      </c>
      <c r="I51" s="16" t="s">
        <v>35</v>
      </c>
      <c r="J51" s="16" t="s">
        <v>23</v>
      </c>
      <c r="K51" s="16">
        <v>2</v>
      </c>
      <c r="L51" s="16">
        <v>3</v>
      </c>
      <c r="M51" s="18" t="b">
        <v>1</v>
      </c>
      <c r="N51" s="16" t="s">
        <v>146</v>
      </c>
      <c r="O51" s="24"/>
      <c r="P51" t="s">
        <v>268</v>
      </c>
      <c r="Q51" s="49"/>
      <c r="R51" s="17">
        <v>44483</v>
      </c>
      <c r="S51" s="56">
        <v>0.5</v>
      </c>
      <c r="T51" s="19">
        <v>1042</v>
      </c>
      <c r="U51" s="52"/>
      <c r="V51" s="48" t="s">
        <v>264</v>
      </c>
      <c r="W51" s="48" t="s">
        <v>264</v>
      </c>
      <c r="X51" s="51"/>
      <c r="Y51" s="48" t="s">
        <v>264</v>
      </c>
      <c r="Z51" s="48" t="s">
        <v>264</v>
      </c>
      <c r="AA51" s="49"/>
    </row>
    <row r="52" spans="1:27" x14ac:dyDescent="0.35">
      <c r="A52" s="20">
        <v>14</v>
      </c>
      <c r="B52" s="20">
        <v>4</v>
      </c>
      <c r="C52" s="20" t="s">
        <v>117</v>
      </c>
      <c r="D52" s="20">
        <v>1043</v>
      </c>
      <c r="E52" s="20" t="s">
        <v>147</v>
      </c>
      <c r="F52" s="20" t="s">
        <v>121</v>
      </c>
      <c r="G52" s="20" t="s">
        <v>20</v>
      </c>
      <c r="H52" s="20" t="s">
        <v>25</v>
      </c>
      <c r="I52" s="20" t="s">
        <v>35</v>
      </c>
      <c r="J52" s="20" t="s">
        <v>23</v>
      </c>
      <c r="K52" s="20">
        <v>2</v>
      </c>
      <c r="L52" s="20">
        <v>3</v>
      </c>
      <c r="M52" s="18" t="b">
        <v>1</v>
      </c>
      <c r="N52" s="20"/>
      <c r="O52" s="23"/>
      <c r="P52" t="s">
        <v>249</v>
      </c>
      <c r="Q52">
        <v>19</v>
      </c>
      <c r="R52" s="21">
        <v>44481</v>
      </c>
      <c r="S52" s="55">
        <v>0.50694444444444442</v>
      </c>
      <c r="T52" s="22">
        <v>1044</v>
      </c>
      <c r="U52" s="48" t="s">
        <v>264</v>
      </c>
      <c r="V52" s="48" t="s">
        <v>264</v>
      </c>
      <c r="W52" s="48" t="s">
        <v>264</v>
      </c>
      <c r="X52" s="48" t="s">
        <v>264</v>
      </c>
      <c r="Y52" s="48" t="s">
        <v>264</v>
      </c>
      <c r="Z52" s="53"/>
      <c r="AA52" s="49"/>
    </row>
    <row r="53" spans="1:27" x14ac:dyDescent="0.35">
      <c r="A53" s="16">
        <v>16</v>
      </c>
      <c r="B53" s="16">
        <v>4</v>
      </c>
      <c r="C53" s="16" t="s">
        <v>117</v>
      </c>
      <c r="D53" s="16">
        <v>1047</v>
      </c>
      <c r="E53" s="16" t="s">
        <v>149</v>
      </c>
      <c r="F53" s="16" t="s">
        <v>121</v>
      </c>
      <c r="G53" s="16" t="s">
        <v>39</v>
      </c>
      <c r="H53" s="16" t="s">
        <v>25</v>
      </c>
      <c r="I53" s="16" t="s">
        <v>35</v>
      </c>
      <c r="J53" s="16" t="s">
        <v>23</v>
      </c>
      <c r="K53" s="16">
        <v>2</v>
      </c>
      <c r="L53" s="16">
        <v>3</v>
      </c>
      <c r="M53" s="18" t="b">
        <v>1</v>
      </c>
      <c r="N53" s="16"/>
      <c r="O53" s="24"/>
      <c r="P53" t="s">
        <v>249</v>
      </c>
      <c r="Q53">
        <v>31</v>
      </c>
      <c r="R53" s="17">
        <v>44481</v>
      </c>
      <c r="S53" s="56">
        <v>0.50694444444444442</v>
      </c>
      <c r="T53" s="19">
        <v>1048</v>
      </c>
      <c r="U53" s="48" t="s">
        <v>264</v>
      </c>
      <c r="V53" s="48" t="s">
        <v>264</v>
      </c>
      <c r="W53" s="48"/>
      <c r="X53" s="48" t="s">
        <v>264</v>
      </c>
      <c r="Y53" s="48" t="s">
        <v>264</v>
      </c>
      <c r="Z53" s="48" t="s">
        <v>264</v>
      </c>
      <c r="AA53" s="49"/>
    </row>
    <row r="54" spans="1:27" x14ac:dyDescent="0.35">
      <c r="A54" s="20">
        <v>17</v>
      </c>
      <c r="B54" s="20">
        <v>4</v>
      </c>
      <c r="C54" s="20" t="s">
        <v>117</v>
      </c>
      <c r="D54" s="20">
        <v>1049</v>
      </c>
      <c r="E54" s="20" t="s">
        <v>150</v>
      </c>
      <c r="F54" s="20" t="s">
        <v>121</v>
      </c>
      <c r="G54" s="20" t="s">
        <v>39</v>
      </c>
      <c r="H54" s="20" t="s">
        <v>21</v>
      </c>
      <c r="I54" s="20" t="s">
        <v>35</v>
      </c>
      <c r="J54" s="20" t="s">
        <v>23</v>
      </c>
      <c r="K54" s="20">
        <v>2</v>
      </c>
      <c r="L54" s="20"/>
      <c r="M54" s="18" t="b">
        <v>1</v>
      </c>
      <c r="N54" s="20"/>
      <c r="O54" s="23" t="s">
        <v>234</v>
      </c>
      <c r="P54" t="s">
        <v>249</v>
      </c>
      <c r="Q54">
        <v>27</v>
      </c>
      <c r="R54" s="21">
        <v>44482</v>
      </c>
      <c r="S54" s="55">
        <v>0.34375</v>
      </c>
      <c r="T54" s="22">
        <v>1050</v>
      </c>
      <c r="U54" s="48" t="s">
        <v>264</v>
      </c>
      <c r="V54" s="48" t="s">
        <v>264</v>
      </c>
      <c r="W54" s="48" t="s">
        <v>264</v>
      </c>
      <c r="X54" s="48" t="s">
        <v>264</v>
      </c>
      <c r="Y54" s="48" t="s">
        <v>264</v>
      </c>
      <c r="Z54" s="48" t="s">
        <v>264</v>
      </c>
      <c r="AA54" s="49"/>
    </row>
    <row r="55" spans="1:27" x14ac:dyDescent="0.35">
      <c r="A55" s="16">
        <v>20</v>
      </c>
      <c r="B55" s="16">
        <v>4</v>
      </c>
      <c r="C55" s="16" t="s">
        <v>117</v>
      </c>
      <c r="D55" s="16">
        <v>1055</v>
      </c>
      <c r="E55" s="16" t="s">
        <v>153</v>
      </c>
      <c r="F55" s="16" t="s">
        <v>121</v>
      </c>
      <c r="G55" s="16" t="s">
        <v>20</v>
      </c>
      <c r="H55" s="16" t="s">
        <v>25</v>
      </c>
      <c r="I55" s="16" t="s">
        <v>35</v>
      </c>
      <c r="J55" s="16" t="s">
        <v>23</v>
      </c>
      <c r="K55" s="16">
        <v>2</v>
      </c>
      <c r="L55" s="16"/>
      <c r="M55" s="18" t="b">
        <v>1</v>
      </c>
      <c r="N55" s="16"/>
      <c r="O55" s="24"/>
      <c r="P55" t="s">
        <v>249</v>
      </c>
      <c r="Q55">
        <v>19</v>
      </c>
      <c r="R55" s="17">
        <v>44482</v>
      </c>
      <c r="S55" s="56">
        <v>0.34375</v>
      </c>
      <c r="T55" s="19">
        <v>1056</v>
      </c>
      <c r="U55" s="48" t="s">
        <v>264</v>
      </c>
      <c r="V55" s="48" t="s">
        <v>264</v>
      </c>
      <c r="W55" s="48" t="s">
        <v>264</v>
      </c>
      <c r="X55" s="48" t="s">
        <v>264</v>
      </c>
      <c r="Y55" s="48" t="s">
        <v>264</v>
      </c>
      <c r="Z55" s="48" t="s">
        <v>264</v>
      </c>
      <c r="AA55" s="49"/>
    </row>
    <row r="56" spans="1:27" x14ac:dyDescent="0.35">
      <c r="A56" s="20">
        <v>1</v>
      </c>
      <c r="B56" s="20">
        <v>3</v>
      </c>
      <c r="C56" s="20" t="s">
        <v>117</v>
      </c>
      <c r="D56" s="20">
        <v>1061</v>
      </c>
      <c r="E56" s="20" t="s">
        <v>156</v>
      </c>
      <c r="F56" s="20" t="s">
        <v>121</v>
      </c>
      <c r="G56" s="20" t="s">
        <v>39</v>
      </c>
      <c r="H56" s="20" t="s">
        <v>21</v>
      </c>
      <c r="I56" s="20" t="s">
        <v>35</v>
      </c>
      <c r="J56" s="20" t="s">
        <v>23</v>
      </c>
      <c r="K56" s="20">
        <v>2</v>
      </c>
      <c r="L56" s="20">
        <v>4</v>
      </c>
      <c r="M56" s="18" t="b">
        <v>1</v>
      </c>
      <c r="N56" s="20"/>
      <c r="O56" s="23" t="s">
        <v>245</v>
      </c>
      <c r="P56" t="s">
        <v>249</v>
      </c>
      <c r="Q56">
        <v>28</v>
      </c>
      <c r="R56" s="21">
        <v>44483</v>
      </c>
      <c r="S56" s="55">
        <v>0.39583333333333331</v>
      </c>
      <c r="T56" s="22">
        <v>1062</v>
      </c>
      <c r="U56" s="48" t="s">
        <v>264</v>
      </c>
      <c r="V56" s="48" t="s">
        <v>264</v>
      </c>
      <c r="W56" s="48" t="s">
        <v>264</v>
      </c>
      <c r="X56" s="48" t="s">
        <v>264</v>
      </c>
      <c r="Y56" s="48" t="s">
        <v>264</v>
      </c>
      <c r="Z56" s="48" t="s">
        <v>264</v>
      </c>
      <c r="AA56" s="49"/>
    </row>
    <row r="57" spans="1:27" x14ac:dyDescent="0.35">
      <c r="A57" s="16">
        <v>3</v>
      </c>
      <c r="B57" s="16">
        <v>3</v>
      </c>
      <c r="C57" s="16" t="s">
        <v>117</v>
      </c>
      <c r="D57" s="16">
        <v>1065</v>
      </c>
      <c r="E57" s="16" t="s">
        <v>158</v>
      </c>
      <c r="F57" s="16" t="s">
        <v>121</v>
      </c>
      <c r="G57" s="16" t="s">
        <v>20</v>
      </c>
      <c r="H57" s="16" t="s">
        <v>21</v>
      </c>
      <c r="I57" s="16" t="s">
        <v>35</v>
      </c>
      <c r="J57" s="16" t="s">
        <v>23</v>
      </c>
      <c r="K57" s="16">
        <v>2</v>
      </c>
      <c r="L57" s="16">
        <v>4</v>
      </c>
      <c r="M57" s="18" t="b">
        <v>1</v>
      </c>
      <c r="N57" s="16"/>
      <c r="O57" s="24"/>
      <c r="P57" t="s">
        <v>249</v>
      </c>
      <c r="Q57">
        <v>24</v>
      </c>
      <c r="R57" s="17">
        <v>44482</v>
      </c>
      <c r="S57" s="56">
        <v>0.34375</v>
      </c>
      <c r="T57" s="19">
        <v>1066</v>
      </c>
      <c r="U57" s="48" t="s">
        <v>264</v>
      </c>
      <c r="V57" s="48" t="s">
        <v>264</v>
      </c>
      <c r="W57" s="48" t="s">
        <v>264</v>
      </c>
      <c r="X57" s="48" t="s">
        <v>264</v>
      </c>
      <c r="Y57" s="48" t="s">
        <v>264</v>
      </c>
      <c r="Z57" s="48" t="s">
        <v>264</v>
      </c>
      <c r="AA57" s="49"/>
    </row>
    <row r="58" spans="1:27" x14ac:dyDescent="0.35">
      <c r="A58" s="20">
        <v>4</v>
      </c>
      <c r="B58" s="20">
        <v>3</v>
      </c>
      <c r="C58" s="20" t="s">
        <v>117</v>
      </c>
      <c r="D58" s="20">
        <v>1067</v>
      </c>
      <c r="E58" s="20" t="s">
        <v>159</v>
      </c>
      <c r="F58" s="20" t="s">
        <v>121</v>
      </c>
      <c r="G58" s="20" t="s">
        <v>20</v>
      </c>
      <c r="H58" s="20" t="s">
        <v>25</v>
      </c>
      <c r="I58" s="20" t="s">
        <v>35</v>
      </c>
      <c r="J58" s="20" t="s">
        <v>23</v>
      </c>
      <c r="K58" s="20">
        <v>2</v>
      </c>
      <c r="L58" s="20">
        <v>4</v>
      </c>
      <c r="M58" s="18" t="b">
        <v>0</v>
      </c>
      <c r="N58" s="20" t="s">
        <v>160</v>
      </c>
      <c r="O58" s="23" t="s">
        <v>250</v>
      </c>
      <c r="P58" t="s">
        <v>268</v>
      </c>
      <c r="R58" s="21">
        <v>44483</v>
      </c>
      <c r="S58" s="55">
        <v>0.77083333333333337</v>
      </c>
      <c r="T58" s="22">
        <v>1067</v>
      </c>
      <c r="U58" s="48" t="s">
        <v>264</v>
      </c>
      <c r="V58" s="48" t="s">
        <v>264</v>
      </c>
      <c r="W58" s="48" t="s">
        <v>264</v>
      </c>
      <c r="X58" s="52"/>
      <c r="Y58" s="48" t="s">
        <v>264</v>
      </c>
      <c r="Z58" s="48" t="s">
        <v>264</v>
      </c>
      <c r="AA58" s="49"/>
    </row>
    <row r="59" spans="1:27" x14ac:dyDescent="0.35">
      <c r="A59" s="16">
        <v>6</v>
      </c>
      <c r="B59" s="16">
        <v>3</v>
      </c>
      <c r="C59" s="16" t="s">
        <v>117</v>
      </c>
      <c r="D59" s="16">
        <v>1071</v>
      </c>
      <c r="E59" s="16" t="s">
        <v>163</v>
      </c>
      <c r="F59" s="16" t="s">
        <v>121</v>
      </c>
      <c r="G59" s="16" t="s">
        <v>39</v>
      </c>
      <c r="H59" s="16" t="s">
        <v>25</v>
      </c>
      <c r="I59" s="16" t="s">
        <v>35</v>
      </c>
      <c r="J59" s="16" t="s">
        <v>23</v>
      </c>
      <c r="K59" s="16">
        <v>2</v>
      </c>
      <c r="L59" s="16">
        <v>4</v>
      </c>
      <c r="M59" s="18" t="b">
        <v>1</v>
      </c>
      <c r="N59" s="16"/>
      <c r="O59" s="24"/>
      <c r="P59" t="s">
        <v>249</v>
      </c>
      <c r="Q59">
        <v>29</v>
      </c>
      <c r="R59" s="17">
        <v>44482</v>
      </c>
      <c r="S59" s="56">
        <v>0.46875</v>
      </c>
      <c r="T59" s="19">
        <v>1072</v>
      </c>
      <c r="U59" s="48" t="s">
        <v>264</v>
      </c>
      <c r="V59" s="48" t="s">
        <v>264</v>
      </c>
      <c r="W59" s="48" t="s">
        <v>264</v>
      </c>
      <c r="X59" s="48" t="s">
        <v>264</v>
      </c>
      <c r="Y59" s="48" t="s">
        <v>264</v>
      </c>
      <c r="Z59" s="48" t="s">
        <v>264</v>
      </c>
      <c r="AA59" s="49"/>
    </row>
    <row r="60" spans="1:27" x14ac:dyDescent="0.35">
      <c r="A60" s="20">
        <v>8</v>
      </c>
      <c r="B60" s="20">
        <v>3</v>
      </c>
      <c r="C60" s="20" t="s">
        <v>117</v>
      </c>
      <c r="D60" s="20">
        <v>1075</v>
      </c>
      <c r="E60" s="20" t="s">
        <v>165</v>
      </c>
      <c r="F60" s="20" t="s">
        <v>121</v>
      </c>
      <c r="G60" s="20" t="s">
        <v>39</v>
      </c>
      <c r="H60" s="20" t="s">
        <v>21</v>
      </c>
      <c r="I60" s="20" t="s">
        <v>35</v>
      </c>
      <c r="J60" s="20" t="s">
        <v>23</v>
      </c>
      <c r="K60" s="20">
        <v>2</v>
      </c>
      <c r="L60" s="20">
        <v>5</v>
      </c>
      <c r="M60" s="18" t="b">
        <v>1</v>
      </c>
      <c r="N60" s="20"/>
      <c r="O60" s="23" t="s">
        <v>212</v>
      </c>
      <c r="P60" t="s">
        <v>249</v>
      </c>
      <c r="Q60">
        <v>28</v>
      </c>
      <c r="R60" s="21">
        <v>44482</v>
      </c>
      <c r="S60" s="55">
        <v>0.46875</v>
      </c>
      <c r="T60" s="22">
        <v>1076</v>
      </c>
      <c r="U60" s="48" t="s">
        <v>264</v>
      </c>
      <c r="V60" s="48" t="s">
        <v>264</v>
      </c>
      <c r="W60" s="48" t="s">
        <v>264</v>
      </c>
      <c r="X60" s="48" t="s">
        <v>264</v>
      </c>
      <c r="Y60" s="48" t="s">
        <v>264</v>
      </c>
      <c r="Z60" s="48" t="s">
        <v>264</v>
      </c>
      <c r="AA60" s="49"/>
    </row>
    <row r="61" spans="1:27" x14ac:dyDescent="0.35">
      <c r="A61" s="16">
        <v>9</v>
      </c>
      <c r="B61" s="16">
        <v>3</v>
      </c>
      <c r="C61" s="16" t="s">
        <v>117</v>
      </c>
      <c r="D61" s="16">
        <v>1077</v>
      </c>
      <c r="E61" s="16" t="s">
        <v>166</v>
      </c>
      <c r="F61" s="16" t="s">
        <v>121</v>
      </c>
      <c r="G61" s="16" t="s">
        <v>39</v>
      </c>
      <c r="H61" s="16" t="s">
        <v>25</v>
      </c>
      <c r="I61" s="16" t="s">
        <v>35</v>
      </c>
      <c r="J61" s="16"/>
      <c r="K61" s="16">
        <v>2</v>
      </c>
      <c r="L61" s="16">
        <v>2</v>
      </c>
      <c r="M61" s="18" t="b">
        <v>1</v>
      </c>
      <c r="N61" s="16" t="s">
        <v>169</v>
      </c>
      <c r="O61" s="24" t="s">
        <v>220</v>
      </c>
      <c r="P61" t="s">
        <v>249</v>
      </c>
      <c r="Q61">
        <v>32</v>
      </c>
      <c r="R61" s="17">
        <v>44483</v>
      </c>
      <c r="S61" s="56">
        <v>0.5</v>
      </c>
      <c r="T61" s="19">
        <v>1078</v>
      </c>
      <c r="U61" s="48" t="s">
        <v>264</v>
      </c>
      <c r="V61" s="48" t="s">
        <v>264</v>
      </c>
      <c r="W61" s="48" t="s">
        <v>264</v>
      </c>
      <c r="X61" s="48" t="s">
        <v>264</v>
      </c>
      <c r="Y61" s="48" t="s">
        <v>264</v>
      </c>
      <c r="Z61" s="48" t="s">
        <v>264</v>
      </c>
      <c r="AA61" s="49"/>
    </row>
    <row r="62" spans="1:27" x14ac:dyDescent="0.35">
      <c r="A62" s="20">
        <v>10</v>
      </c>
      <c r="B62" s="20">
        <v>3</v>
      </c>
      <c r="C62" s="20" t="s">
        <v>117</v>
      </c>
      <c r="D62" s="20">
        <v>1079</v>
      </c>
      <c r="E62" s="20" t="s">
        <v>170</v>
      </c>
      <c r="F62" s="20" t="s">
        <v>121</v>
      </c>
      <c r="G62" s="20" t="s">
        <v>20</v>
      </c>
      <c r="H62" s="20" t="s">
        <v>21</v>
      </c>
      <c r="I62" s="20" t="s">
        <v>35</v>
      </c>
      <c r="J62" s="20" t="s">
        <v>23</v>
      </c>
      <c r="K62" s="20">
        <v>2</v>
      </c>
      <c r="L62" s="20">
        <v>5</v>
      </c>
      <c r="M62" s="18" t="b">
        <v>1</v>
      </c>
      <c r="N62" s="20"/>
      <c r="O62" s="23"/>
      <c r="P62" t="s">
        <v>249</v>
      </c>
      <c r="Q62">
        <v>23</v>
      </c>
      <c r="R62" s="21">
        <v>44482</v>
      </c>
      <c r="S62" s="55">
        <v>0.46875</v>
      </c>
      <c r="T62" s="22">
        <v>1080</v>
      </c>
      <c r="U62" s="48"/>
      <c r="V62" s="48" t="s">
        <v>264</v>
      </c>
      <c r="W62" s="48" t="s">
        <v>264</v>
      </c>
      <c r="X62" s="48" t="s">
        <v>264</v>
      </c>
      <c r="Y62" s="48" t="s">
        <v>264</v>
      </c>
      <c r="Z62" s="48" t="s">
        <v>264</v>
      </c>
      <c r="AA62" s="49"/>
    </row>
    <row r="63" spans="1:27" x14ac:dyDescent="0.35">
      <c r="A63" s="16">
        <v>12</v>
      </c>
      <c r="B63" s="16">
        <v>3</v>
      </c>
      <c r="C63" s="16" t="s">
        <v>117</v>
      </c>
      <c r="D63" s="16">
        <v>1083</v>
      </c>
      <c r="E63" s="16" t="s">
        <v>172</v>
      </c>
      <c r="F63" s="16" t="s">
        <v>121</v>
      </c>
      <c r="G63" s="16" t="s">
        <v>20</v>
      </c>
      <c r="H63" s="16" t="s">
        <v>25</v>
      </c>
      <c r="I63" s="16" t="s">
        <v>35</v>
      </c>
      <c r="J63" s="16" t="s">
        <v>23</v>
      </c>
      <c r="K63" s="16">
        <v>2</v>
      </c>
      <c r="L63" s="16">
        <v>5</v>
      </c>
      <c r="M63" s="18" t="b">
        <v>1</v>
      </c>
      <c r="N63" s="16"/>
      <c r="O63" s="24"/>
      <c r="P63" t="s">
        <v>249</v>
      </c>
      <c r="Q63">
        <v>20</v>
      </c>
      <c r="R63" s="17">
        <v>44482</v>
      </c>
      <c r="S63" s="56">
        <v>0.46875</v>
      </c>
      <c r="T63" s="19">
        <v>1084</v>
      </c>
      <c r="U63" s="48" t="s">
        <v>264</v>
      </c>
      <c r="V63" s="48" t="s">
        <v>264</v>
      </c>
      <c r="W63" s="48" t="s">
        <v>264</v>
      </c>
      <c r="X63" s="48" t="s">
        <v>264</v>
      </c>
      <c r="Y63" s="48" t="s">
        <v>264</v>
      </c>
      <c r="Z63" s="48" t="s">
        <v>264</v>
      </c>
      <c r="AA63" s="49"/>
    </row>
    <row r="64" spans="1:27" x14ac:dyDescent="0.35">
      <c r="A64" s="20">
        <v>14</v>
      </c>
      <c r="B64" s="20">
        <v>3</v>
      </c>
      <c r="C64" s="20" t="s">
        <v>117</v>
      </c>
      <c r="D64" s="20">
        <v>1087</v>
      </c>
      <c r="E64" s="20" t="s">
        <v>174</v>
      </c>
      <c r="F64" s="20" t="s">
        <v>121</v>
      </c>
      <c r="G64" s="20" t="s">
        <v>39</v>
      </c>
      <c r="H64" s="20" t="s">
        <v>25</v>
      </c>
      <c r="I64" s="20" t="s">
        <v>35</v>
      </c>
      <c r="J64" s="20" t="s">
        <v>23</v>
      </c>
      <c r="K64" s="20">
        <v>2</v>
      </c>
      <c r="L64" s="20">
        <v>5</v>
      </c>
      <c r="M64" s="18" t="b">
        <v>1</v>
      </c>
      <c r="N64" s="20"/>
      <c r="O64" s="23" t="s">
        <v>213</v>
      </c>
      <c r="P64" t="s">
        <v>249</v>
      </c>
      <c r="Q64">
        <v>29</v>
      </c>
      <c r="R64" s="21">
        <v>44482</v>
      </c>
      <c r="S64" s="55">
        <v>0.46875</v>
      </c>
      <c r="T64" s="22">
        <v>1088</v>
      </c>
      <c r="U64" s="48" t="s">
        <v>264</v>
      </c>
      <c r="V64" s="48" t="s">
        <v>264</v>
      </c>
      <c r="W64" s="48" t="s">
        <v>264</v>
      </c>
      <c r="X64" s="48" t="s">
        <v>264</v>
      </c>
      <c r="Y64" s="48" t="s">
        <v>264</v>
      </c>
      <c r="Z64" s="48" t="s">
        <v>264</v>
      </c>
      <c r="AA64" s="49"/>
    </row>
    <row r="65" spans="1:27" x14ac:dyDescent="0.35">
      <c r="A65" s="16">
        <v>16</v>
      </c>
      <c r="B65" s="16">
        <v>3</v>
      </c>
      <c r="C65" s="16" t="s">
        <v>117</v>
      </c>
      <c r="D65" s="16">
        <v>1091</v>
      </c>
      <c r="E65" s="16" t="s">
        <v>176</v>
      </c>
      <c r="F65" s="16" t="s">
        <v>121</v>
      </c>
      <c r="G65" s="16" t="s">
        <v>39</v>
      </c>
      <c r="H65" s="16" t="s">
        <v>21</v>
      </c>
      <c r="I65" s="16" t="s">
        <v>35</v>
      </c>
      <c r="J65" s="16" t="s">
        <v>23</v>
      </c>
      <c r="K65" s="16">
        <v>2</v>
      </c>
      <c r="L65" s="16">
        <v>6</v>
      </c>
      <c r="M65" s="18" t="b">
        <v>1</v>
      </c>
      <c r="N65" s="16"/>
      <c r="O65" s="24"/>
      <c r="P65" t="s">
        <v>249</v>
      </c>
      <c r="Q65">
        <v>26</v>
      </c>
      <c r="R65" s="17">
        <v>44482</v>
      </c>
      <c r="S65" s="56">
        <v>0.46875</v>
      </c>
      <c r="T65" s="19">
        <v>1092</v>
      </c>
      <c r="U65" s="48" t="s">
        <v>264</v>
      </c>
      <c r="V65" s="48" t="s">
        <v>264</v>
      </c>
      <c r="W65" s="48" t="s">
        <v>264</v>
      </c>
      <c r="X65" s="48" t="s">
        <v>264</v>
      </c>
      <c r="Y65" s="48" t="s">
        <v>264</v>
      </c>
      <c r="Z65" s="48" t="s">
        <v>264</v>
      </c>
      <c r="AA65" s="49"/>
    </row>
    <row r="66" spans="1:27" x14ac:dyDescent="0.35">
      <c r="A66" s="20">
        <v>17</v>
      </c>
      <c r="B66" s="20">
        <v>3</v>
      </c>
      <c r="C66" s="20" t="s">
        <v>117</v>
      </c>
      <c r="D66" s="20">
        <v>1093</v>
      </c>
      <c r="E66" s="20" t="s">
        <v>177</v>
      </c>
      <c r="F66" s="20" t="s">
        <v>121</v>
      </c>
      <c r="G66" s="20" t="s">
        <v>20</v>
      </c>
      <c r="H66" s="20" t="s">
        <v>21</v>
      </c>
      <c r="I66" s="20" t="s">
        <v>35</v>
      </c>
      <c r="J66" s="20" t="s">
        <v>23</v>
      </c>
      <c r="K66" s="20">
        <v>2</v>
      </c>
      <c r="L66" s="20">
        <v>6</v>
      </c>
      <c r="M66" s="18" t="b">
        <v>1</v>
      </c>
      <c r="N66" s="20"/>
      <c r="O66" s="23"/>
      <c r="P66" t="s">
        <v>249</v>
      </c>
      <c r="Q66">
        <v>22</v>
      </c>
      <c r="R66" s="21">
        <v>44482</v>
      </c>
      <c r="S66" s="55">
        <v>0.46875</v>
      </c>
      <c r="T66" s="22">
        <v>1094</v>
      </c>
      <c r="U66" s="48" t="s">
        <v>264</v>
      </c>
      <c r="V66" s="48" t="s">
        <v>264</v>
      </c>
      <c r="W66" s="48" t="s">
        <v>264</v>
      </c>
      <c r="X66" s="48" t="s">
        <v>264</v>
      </c>
      <c r="Y66" s="48" t="s">
        <v>264</v>
      </c>
      <c r="Z66" s="48" t="s">
        <v>264</v>
      </c>
      <c r="AA66" s="49"/>
    </row>
    <row r="67" spans="1:27" x14ac:dyDescent="0.35">
      <c r="A67" s="16">
        <v>19</v>
      </c>
      <c r="B67" s="16">
        <v>3</v>
      </c>
      <c r="C67" s="16" t="s">
        <v>117</v>
      </c>
      <c r="D67" s="16">
        <v>1097</v>
      </c>
      <c r="E67" s="16" t="s">
        <v>179</v>
      </c>
      <c r="F67" s="16" t="s">
        <v>121</v>
      </c>
      <c r="G67" s="16" t="s">
        <v>20</v>
      </c>
      <c r="H67" s="16" t="s">
        <v>25</v>
      </c>
      <c r="I67" s="16" t="s">
        <v>35</v>
      </c>
      <c r="J67" s="16" t="s">
        <v>23</v>
      </c>
      <c r="K67" s="16">
        <v>2</v>
      </c>
      <c r="L67" s="16">
        <v>6</v>
      </c>
      <c r="M67" s="18" t="b">
        <v>1</v>
      </c>
      <c r="N67" s="16"/>
      <c r="O67" s="24"/>
      <c r="P67" t="s">
        <v>249</v>
      </c>
      <c r="Q67">
        <v>20</v>
      </c>
      <c r="R67" s="17">
        <v>44483</v>
      </c>
      <c r="S67" s="56">
        <v>0.39583333333333331</v>
      </c>
      <c r="T67" s="19">
        <v>1098</v>
      </c>
      <c r="U67" s="48" t="s">
        <v>264</v>
      </c>
      <c r="V67" s="48" t="s">
        <v>264</v>
      </c>
      <c r="W67" s="48" t="s">
        <v>264</v>
      </c>
      <c r="X67" s="48" t="s">
        <v>264</v>
      </c>
      <c r="Y67" s="48" t="s">
        <v>264</v>
      </c>
      <c r="Z67" s="48" t="s">
        <v>264</v>
      </c>
      <c r="AA67" s="49"/>
    </row>
    <row r="68" spans="1:27" x14ac:dyDescent="0.35">
      <c r="A68" s="20">
        <v>20</v>
      </c>
      <c r="B68" s="20">
        <v>3</v>
      </c>
      <c r="C68" s="20" t="s">
        <v>117</v>
      </c>
      <c r="D68" s="20">
        <v>1099</v>
      </c>
      <c r="E68" s="20" t="s">
        <v>180</v>
      </c>
      <c r="F68" s="20" t="s">
        <v>121</v>
      </c>
      <c r="G68" s="20" t="s">
        <v>39</v>
      </c>
      <c r="H68" s="20" t="s">
        <v>25</v>
      </c>
      <c r="I68" s="20" t="s">
        <v>35</v>
      </c>
      <c r="J68" s="20" t="s">
        <v>23</v>
      </c>
      <c r="K68" s="20">
        <v>2</v>
      </c>
      <c r="L68" s="20">
        <v>6</v>
      </c>
      <c r="M68" s="18" t="b">
        <v>1</v>
      </c>
      <c r="N68" s="20"/>
      <c r="O68" s="23" t="s">
        <v>210</v>
      </c>
      <c r="P68" t="s">
        <v>249</v>
      </c>
      <c r="Q68">
        <v>30</v>
      </c>
      <c r="R68" s="21">
        <v>44482</v>
      </c>
      <c r="S68" s="55">
        <v>0.34375</v>
      </c>
      <c r="T68" s="22">
        <v>1100</v>
      </c>
      <c r="U68" s="48" t="s">
        <v>264</v>
      </c>
      <c r="V68" s="48" t="s">
        <v>264</v>
      </c>
      <c r="W68" s="48" t="s">
        <v>264</v>
      </c>
      <c r="X68" s="48" t="s">
        <v>264</v>
      </c>
      <c r="Y68" s="48" t="s">
        <v>264</v>
      </c>
      <c r="Z68" s="48" t="s">
        <v>264</v>
      </c>
      <c r="AA68" s="49"/>
    </row>
    <row r="69" spans="1:27" x14ac:dyDescent="0.35">
      <c r="A69" s="16">
        <v>1</v>
      </c>
      <c r="B69" s="16">
        <v>2</v>
      </c>
      <c r="C69" s="16" t="s">
        <v>117</v>
      </c>
      <c r="D69" s="16">
        <v>1103</v>
      </c>
      <c r="E69" s="16" t="s">
        <v>182</v>
      </c>
      <c r="F69" s="16" t="s">
        <v>121</v>
      </c>
      <c r="G69" s="16" t="s">
        <v>39</v>
      </c>
      <c r="H69" s="16" t="s">
        <v>25</v>
      </c>
      <c r="I69" s="16" t="s">
        <v>35</v>
      </c>
      <c r="J69" s="16" t="s">
        <v>23</v>
      </c>
      <c r="K69" s="16">
        <v>2</v>
      </c>
      <c r="L69" s="16">
        <v>7</v>
      </c>
      <c r="M69" s="18" t="b">
        <v>1</v>
      </c>
      <c r="N69" s="16"/>
      <c r="O69" s="24"/>
      <c r="P69" t="s">
        <v>249</v>
      </c>
      <c r="Q69">
        <v>31</v>
      </c>
      <c r="R69" s="17">
        <v>44483</v>
      </c>
      <c r="S69" s="56">
        <v>0.39583333333333331</v>
      </c>
      <c r="T69" s="19">
        <v>1104</v>
      </c>
      <c r="U69" s="48"/>
      <c r="V69" s="48" t="s">
        <v>264</v>
      </c>
      <c r="W69" s="48" t="s">
        <v>264</v>
      </c>
      <c r="X69" s="48" t="s">
        <v>264</v>
      </c>
      <c r="Y69" s="48" t="s">
        <v>264</v>
      </c>
      <c r="Z69" s="48" t="s">
        <v>264</v>
      </c>
      <c r="AA69" s="49"/>
    </row>
    <row r="70" spans="1:27" x14ac:dyDescent="0.35">
      <c r="A70" s="20">
        <v>2</v>
      </c>
      <c r="B70" s="20">
        <v>2</v>
      </c>
      <c r="C70" s="20" t="s">
        <v>117</v>
      </c>
      <c r="D70" s="20">
        <v>1105</v>
      </c>
      <c r="E70" s="20" t="s">
        <v>183</v>
      </c>
      <c r="F70" s="20" t="s">
        <v>121</v>
      </c>
      <c r="G70" s="20" t="s">
        <v>39</v>
      </c>
      <c r="H70" s="20" t="s">
        <v>21</v>
      </c>
      <c r="I70" s="20" t="s">
        <v>35</v>
      </c>
      <c r="J70" s="20" t="s">
        <v>23</v>
      </c>
      <c r="K70" s="20">
        <v>2</v>
      </c>
      <c r="L70" s="20">
        <v>7</v>
      </c>
      <c r="M70" s="18" t="b">
        <v>1</v>
      </c>
      <c r="N70" s="20"/>
      <c r="O70" s="23"/>
      <c r="P70" t="s">
        <v>249</v>
      </c>
      <c r="Q70">
        <v>27</v>
      </c>
      <c r="R70" s="21">
        <v>44483</v>
      </c>
      <c r="S70" s="55">
        <v>0.39583333333333331</v>
      </c>
      <c r="T70" s="22">
        <v>1106</v>
      </c>
      <c r="U70" s="48" t="s">
        <v>264</v>
      </c>
      <c r="V70" s="48" t="s">
        <v>264</v>
      </c>
      <c r="W70" s="48" t="s">
        <v>264</v>
      </c>
      <c r="X70" s="48" t="s">
        <v>264</v>
      </c>
      <c r="Y70" s="48" t="s">
        <v>264</v>
      </c>
      <c r="Z70" s="48" t="s">
        <v>264</v>
      </c>
      <c r="AA70" s="49"/>
    </row>
    <row r="71" spans="1:27" x14ac:dyDescent="0.35">
      <c r="A71" s="16">
        <v>4</v>
      </c>
      <c r="B71" s="16">
        <v>2</v>
      </c>
      <c r="C71" s="16" t="s">
        <v>117</v>
      </c>
      <c r="D71" s="16">
        <v>1109</v>
      </c>
      <c r="E71" s="16" t="s">
        <v>187</v>
      </c>
      <c r="F71" s="16" t="s">
        <v>121</v>
      </c>
      <c r="G71" s="16" t="s">
        <v>20</v>
      </c>
      <c r="H71" s="16" t="s">
        <v>21</v>
      </c>
      <c r="I71" s="16" t="s">
        <v>35</v>
      </c>
      <c r="J71" s="16" t="s">
        <v>23</v>
      </c>
      <c r="K71" s="16">
        <v>2</v>
      </c>
      <c r="L71" s="16">
        <v>7</v>
      </c>
      <c r="M71" s="18" t="b">
        <v>1</v>
      </c>
      <c r="N71" s="16"/>
      <c r="O71" s="24"/>
      <c r="P71" t="s">
        <v>249</v>
      </c>
      <c r="Q71">
        <v>23</v>
      </c>
      <c r="R71" s="17">
        <v>44483</v>
      </c>
      <c r="S71" s="56">
        <v>0.39583333333333331</v>
      </c>
      <c r="T71" s="19">
        <v>1110</v>
      </c>
      <c r="U71" s="48" t="s">
        <v>264</v>
      </c>
      <c r="V71" s="48" t="s">
        <v>264</v>
      </c>
      <c r="W71" s="48" t="s">
        <v>264</v>
      </c>
      <c r="X71" s="48" t="s">
        <v>264</v>
      </c>
      <c r="Y71" s="48" t="s">
        <v>264</v>
      </c>
      <c r="Z71" s="48" t="s">
        <v>264</v>
      </c>
      <c r="AA71" s="49"/>
    </row>
    <row r="72" spans="1:27" x14ac:dyDescent="0.35">
      <c r="A72" s="20">
        <v>5</v>
      </c>
      <c r="B72" s="20">
        <v>2</v>
      </c>
      <c r="C72" s="20" t="s">
        <v>117</v>
      </c>
      <c r="D72" s="20">
        <v>1111</v>
      </c>
      <c r="E72" s="20" t="s">
        <v>188</v>
      </c>
      <c r="F72" s="20" t="s">
        <v>121</v>
      </c>
      <c r="G72" s="20" t="s">
        <v>20</v>
      </c>
      <c r="H72" s="20" t="s">
        <v>25</v>
      </c>
      <c r="I72" s="20" t="s">
        <v>35</v>
      </c>
      <c r="J72" s="20" t="s">
        <v>23</v>
      </c>
      <c r="K72" s="20">
        <v>2</v>
      </c>
      <c r="L72" s="20">
        <v>7</v>
      </c>
      <c r="M72" s="18" t="b">
        <v>1</v>
      </c>
      <c r="N72" s="20"/>
      <c r="O72" s="23"/>
      <c r="P72" t="s">
        <v>249</v>
      </c>
      <c r="Q72">
        <v>18</v>
      </c>
      <c r="R72" s="21">
        <v>44483</v>
      </c>
      <c r="S72" s="55">
        <v>0.39583333333333331</v>
      </c>
      <c r="T72" s="22">
        <v>1112</v>
      </c>
      <c r="U72" s="48" t="s">
        <v>264</v>
      </c>
      <c r="V72" s="48"/>
      <c r="W72" s="48" t="s">
        <v>264</v>
      </c>
      <c r="X72" s="48" t="s">
        <v>264</v>
      </c>
      <c r="Y72" s="48" t="s">
        <v>264</v>
      </c>
      <c r="Z72" s="48" t="s">
        <v>264</v>
      </c>
      <c r="AA72" s="49"/>
    </row>
    <row r="73" spans="1:27" x14ac:dyDescent="0.35">
      <c r="A73" s="16">
        <v>9</v>
      </c>
      <c r="B73" s="16">
        <v>2</v>
      </c>
      <c r="C73" s="16" t="s">
        <v>117</v>
      </c>
      <c r="D73" s="16">
        <v>1119</v>
      </c>
      <c r="E73" s="16" t="s">
        <v>192</v>
      </c>
      <c r="F73" s="16" t="s">
        <v>121</v>
      </c>
      <c r="G73" s="16" t="s">
        <v>39</v>
      </c>
      <c r="H73" s="16" t="s">
        <v>21</v>
      </c>
      <c r="I73" s="16" t="s">
        <v>35</v>
      </c>
      <c r="J73" s="16" t="s">
        <v>23</v>
      </c>
      <c r="K73" s="16">
        <v>2</v>
      </c>
      <c r="L73" s="16">
        <v>8</v>
      </c>
      <c r="M73" s="18" t="b">
        <v>1</v>
      </c>
      <c r="N73" s="16"/>
      <c r="O73" s="24"/>
      <c r="P73" t="s">
        <v>249</v>
      </c>
      <c r="Q73">
        <v>25</v>
      </c>
      <c r="R73" s="17">
        <v>44483</v>
      </c>
      <c r="S73" s="56">
        <v>0.5</v>
      </c>
      <c r="T73" s="19">
        <v>1120</v>
      </c>
      <c r="U73" s="48" t="s">
        <v>264</v>
      </c>
      <c r="V73" s="48" t="s">
        <v>264</v>
      </c>
      <c r="W73" s="48" t="s">
        <v>264</v>
      </c>
      <c r="X73" s="48" t="s">
        <v>264</v>
      </c>
      <c r="Y73" s="48" t="s">
        <v>264</v>
      </c>
      <c r="Z73" s="48" t="s">
        <v>264</v>
      </c>
      <c r="AA73" s="49"/>
    </row>
    <row r="74" spans="1:27" x14ac:dyDescent="0.35">
      <c r="A74" s="20">
        <v>10</v>
      </c>
      <c r="B74" s="20">
        <v>2</v>
      </c>
      <c r="C74" s="20" t="s">
        <v>117</v>
      </c>
      <c r="D74" s="20">
        <v>1121</v>
      </c>
      <c r="E74" s="20" t="s">
        <v>193</v>
      </c>
      <c r="F74" s="20" t="s">
        <v>121</v>
      </c>
      <c r="G74" s="20" t="s">
        <v>20</v>
      </c>
      <c r="H74" s="20" t="s">
        <v>21</v>
      </c>
      <c r="I74" s="20" t="s">
        <v>35</v>
      </c>
      <c r="J74" s="20" t="s">
        <v>27</v>
      </c>
      <c r="K74" s="20"/>
      <c r="L74" s="20">
        <v>4</v>
      </c>
      <c r="M74" s="18" t="b">
        <v>0</v>
      </c>
      <c r="N74" s="20" t="s">
        <v>194</v>
      </c>
      <c r="O74" s="23" t="s">
        <v>220</v>
      </c>
      <c r="R74" s="21">
        <v>44483</v>
      </c>
      <c r="S74" s="55">
        <v>0.78472222222222221</v>
      </c>
      <c r="T74" s="22">
        <v>1121</v>
      </c>
      <c r="U74" s="48" t="s">
        <v>264</v>
      </c>
      <c r="V74" s="48" t="s">
        <v>264</v>
      </c>
      <c r="W74" s="48" t="s">
        <v>264</v>
      </c>
      <c r="X74" s="48" t="s">
        <v>264</v>
      </c>
      <c r="Y74" s="48" t="s">
        <v>264</v>
      </c>
      <c r="Z74" s="48" t="s">
        <v>264</v>
      </c>
      <c r="AA74" s="49"/>
    </row>
    <row r="75" spans="1:27" x14ac:dyDescent="0.35">
      <c r="A75" s="16">
        <v>13</v>
      </c>
      <c r="B75" s="16">
        <v>2</v>
      </c>
      <c r="C75" s="16" t="s">
        <v>117</v>
      </c>
      <c r="D75" s="16">
        <v>1127</v>
      </c>
      <c r="E75" s="16" t="s">
        <v>198</v>
      </c>
      <c r="F75" s="16" t="s">
        <v>121</v>
      </c>
      <c r="G75" s="16" t="s">
        <v>20</v>
      </c>
      <c r="H75" s="16" t="s">
        <v>21</v>
      </c>
      <c r="I75" s="16" t="s">
        <v>35</v>
      </c>
      <c r="J75" s="16" t="s">
        <v>23</v>
      </c>
      <c r="K75" s="16">
        <v>2</v>
      </c>
      <c r="L75" s="16">
        <v>8</v>
      </c>
      <c r="M75" s="18" t="b">
        <v>1</v>
      </c>
      <c r="N75" s="16"/>
      <c r="O75" s="24"/>
      <c r="P75" t="s">
        <v>268</v>
      </c>
      <c r="R75" s="17">
        <v>44483</v>
      </c>
      <c r="S75" s="56">
        <v>0.5</v>
      </c>
      <c r="T75" s="19">
        <v>1128</v>
      </c>
      <c r="U75" s="48" t="s">
        <v>264</v>
      </c>
      <c r="V75" s="48" t="s">
        <v>264</v>
      </c>
      <c r="W75" s="48" t="s">
        <v>264</v>
      </c>
      <c r="X75" s="52"/>
      <c r="Y75" s="48" t="s">
        <v>264</v>
      </c>
      <c r="Z75" s="52"/>
      <c r="AA75" s="49"/>
    </row>
    <row r="76" spans="1:27" ht="16.5" customHeight="1" x14ac:dyDescent="0.35">
      <c r="A76" s="20">
        <v>15</v>
      </c>
      <c r="B76" s="20">
        <v>2</v>
      </c>
      <c r="C76" s="20" t="s">
        <v>117</v>
      </c>
      <c r="D76" s="20">
        <v>1131</v>
      </c>
      <c r="E76" s="20" t="s">
        <v>200</v>
      </c>
      <c r="F76" s="20" t="s">
        <v>121</v>
      </c>
      <c r="G76" s="20" t="s">
        <v>20</v>
      </c>
      <c r="H76" s="20" t="s">
        <v>25</v>
      </c>
      <c r="I76" s="20" t="s">
        <v>35</v>
      </c>
      <c r="J76" s="20" t="s">
        <v>23</v>
      </c>
      <c r="K76" s="20">
        <v>2</v>
      </c>
      <c r="L76" s="20">
        <v>8</v>
      </c>
      <c r="M76" s="18" t="b">
        <v>1</v>
      </c>
      <c r="N76" s="20"/>
      <c r="O76" s="23" t="s">
        <v>244</v>
      </c>
      <c r="P76" t="s">
        <v>249</v>
      </c>
      <c r="Q76">
        <v>17</v>
      </c>
      <c r="R76" s="21">
        <v>44483</v>
      </c>
      <c r="S76" s="55">
        <v>0.5</v>
      </c>
      <c r="T76" s="22">
        <v>1132</v>
      </c>
      <c r="U76" s="48" t="s">
        <v>264</v>
      </c>
      <c r="V76" s="48" t="s">
        <v>264</v>
      </c>
      <c r="W76" s="48"/>
      <c r="X76" s="48" t="s">
        <v>264</v>
      </c>
      <c r="Y76" s="48" t="s">
        <v>264</v>
      </c>
      <c r="Z76" s="48" t="s">
        <v>264</v>
      </c>
      <c r="AA76" s="49"/>
    </row>
    <row r="77" spans="1:27" x14ac:dyDescent="0.35">
      <c r="A77" s="16">
        <v>18</v>
      </c>
      <c r="B77" s="16">
        <v>2</v>
      </c>
      <c r="C77" s="16" t="s">
        <v>117</v>
      </c>
      <c r="D77" s="16">
        <v>1137</v>
      </c>
      <c r="E77" s="16" t="s">
        <v>203</v>
      </c>
      <c r="F77" s="16" t="s">
        <v>121</v>
      </c>
      <c r="G77" s="16" t="s">
        <v>20</v>
      </c>
      <c r="H77" s="16" t="s">
        <v>25</v>
      </c>
      <c r="I77" s="16" t="s">
        <v>35</v>
      </c>
      <c r="J77" s="16"/>
      <c r="K77" s="16">
        <v>2</v>
      </c>
      <c r="L77" s="16">
        <v>3</v>
      </c>
      <c r="M77" s="18" t="b">
        <v>0</v>
      </c>
      <c r="N77" s="16"/>
      <c r="O77" s="24" t="s">
        <v>215</v>
      </c>
      <c r="R77" s="17">
        <v>44483</v>
      </c>
      <c r="S77" s="56">
        <v>0.79166666666666663</v>
      </c>
      <c r="T77" s="19">
        <v>1137</v>
      </c>
      <c r="U77" s="48" t="s">
        <v>264</v>
      </c>
      <c r="V77" s="48" t="s">
        <v>264</v>
      </c>
      <c r="W77" s="48" t="s">
        <v>264</v>
      </c>
      <c r="X77" s="48" t="s">
        <v>264</v>
      </c>
      <c r="Y77" s="48" t="s">
        <v>264</v>
      </c>
      <c r="Z77" s="48" t="s">
        <v>264</v>
      </c>
      <c r="AA77" s="49"/>
    </row>
  </sheetData>
  <conditionalFormatting sqref="C1:C42">
    <cfRule type="containsText" dxfId="74" priority="24" operator="containsText" text="U3">
      <formula>NOT(ISERROR(SEARCH("U3",C1)))</formula>
    </cfRule>
  </conditionalFormatting>
  <conditionalFormatting sqref="F1:F42">
    <cfRule type="containsText" dxfId="73" priority="23" operator="containsText" text="HS">
      <formula>NOT(ISERROR(SEARCH("HS",F1)))</formula>
    </cfRule>
  </conditionalFormatting>
  <conditionalFormatting sqref="J1:J42">
    <cfRule type="containsText" dxfId="72" priority="20" operator="containsText" text="flux">
      <formula>NOT(ISERROR(SEARCH("flux",J1)))</formula>
    </cfRule>
    <cfRule type="containsText" dxfId="71" priority="21" operator="containsText" text="JEx">
      <formula>NOT(ISERROR(SEARCH("JEx",J1)))</formula>
    </cfRule>
    <cfRule type="containsText" dxfId="70" priority="22" operator="containsText" text="EB">
      <formula>NOT(ISERROR(SEARCH("EB",J1)))</formula>
    </cfRule>
  </conditionalFormatting>
  <conditionalFormatting sqref="A1:A42">
    <cfRule type="colorScale" priority="25">
      <colorScale>
        <cfvo type="min"/>
        <cfvo type="max"/>
        <color theme="0"/>
        <color theme="5" tint="-0.249977111117893"/>
      </colorScale>
    </cfRule>
  </conditionalFormatting>
  <conditionalFormatting sqref="B1:B42">
    <cfRule type="colorScale" priority="26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I1:I77">
    <cfRule type="containsText" dxfId="69" priority="16" operator="containsText" text="BM">
      <formula>NOT(ISERROR(SEARCH("BM",I1)))</formula>
    </cfRule>
    <cfRule type="containsText" dxfId="68" priority="17" operator="containsText" text="exud">
      <formula>NOT(ISERROR(SEARCH("exud",I1)))</formula>
    </cfRule>
    <cfRule type="containsText" dxfId="67" priority="18" operator="containsText" text="jav">
      <formula>NOT(ISERROR(SEARCH("jav",I1)))</formula>
    </cfRule>
    <cfRule type="containsText" dxfId="66" priority="19" operator="containsText" text="eco">
      <formula>NOT(ISERROR(SEARCH("eco",I1)))</formula>
    </cfRule>
  </conditionalFormatting>
  <conditionalFormatting sqref="R1:R7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77">
    <cfRule type="containsText" dxfId="65" priority="13" operator="containsText" text="faux">
      <formula>NOT(ISERROR(SEARCH("faux",M2)))</formula>
    </cfRule>
  </conditionalFormatting>
  <conditionalFormatting sqref="M2:M7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C77">
    <cfRule type="containsText" dxfId="64" priority="12" operator="containsText" text="U3">
      <formula>NOT(ISERROR(SEARCH("U3",C43)))</formula>
    </cfRule>
  </conditionalFormatting>
  <conditionalFormatting sqref="F43:F77">
    <cfRule type="containsText" dxfId="63" priority="11" operator="containsText" text="HS">
      <formula>NOT(ISERROR(SEARCH("HS",F43)))</formula>
    </cfRule>
  </conditionalFormatting>
  <conditionalFormatting sqref="J43:J77">
    <cfRule type="containsText" dxfId="62" priority="8" operator="containsText" text="flux">
      <formula>NOT(ISERROR(SEARCH("flux",J43)))</formula>
    </cfRule>
    <cfRule type="containsText" dxfId="61" priority="9" operator="containsText" text="JEx">
      <formula>NOT(ISERROR(SEARCH("JEx",J43)))</formula>
    </cfRule>
    <cfRule type="containsText" dxfId="60" priority="10" operator="containsText" text="EB">
      <formula>NOT(ISERROR(SEARCH("EB",J43)))</formula>
    </cfRule>
  </conditionalFormatting>
  <conditionalFormatting sqref="A43:A77">
    <cfRule type="colorScale" priority="6">
      <colorScale>
        <cfvo type="min"/>
        <cfvo type="max"/>
        <color theme="0"/>
        <color theme="5" tint="-0.249977111117893"/>
      </colorScale>
    </cfRule>
  </conditionalFormatting>
  <conditionalFormatting sqref="B43:B77">
    <cfRule type="colorScale" priority="7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Q1:Q77 U78:U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78:AA1048576 U1:Z77">
    <cfRule type="containsText" dxfId="59" priority="4" operator="containsText" text="ok">
      <formula>NOT(ISERROR(SEARCH("ok",U1)))</formula>
    </cfRule>
  </conditionalFormatting>
  <conditionalFormatting sqref="P1:P1048576">
    <cfRule type="containsText" dxfId="58" priority="2" operator="containsText" text="non">
      <formula>NOT(ISERROR(SEARCH("non",P1)))</formula>
    </cfRule>
    <cfRule type="containsText" dxfId="57" priority="3" operator="containsText" text="oui">
      <formula>NOT(ISERROR(SEARCH("oui",P1)))</formula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11363636363636363" bottom="0.13257575757575757" header="0.3" footer="0.3"/>
  <pageSetup paperSize="9" orientation="landscape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3862-B403-4655-B565-B1F8CE7B9CB1}">
  <dimension ref="A1:V94"/>
  <sheetViews>
    <sheetView view="pageLayout" topLeftCell="I1" zoomScaleNormal="100" workbookViewId="0">
      <selection activeCell="I1" sqref="I1:U94"/>
    </sheetView>
  </sheetViews>
  <sheetFormatPr baseColWidth="10" defaultRowHeight="14.5" x14ac:dyDescent="0.35"/>
  <cols>
    <col min="1" max="1" width="8.1796875" hidden="1" customWidth="1"/>
    <col min="2" max="2" width="12" hidden="1" customWidth="1"/>
    <col min="3" max="3" width="4.54296875" hidden="1" customWidth="1"/>
    <col min="4" max="4" width="8.1796875" hidden="1" customWidth="1"/>
    <col min="5" max="5" width="37" hidden="1" customWidth="1"/>
    <col min="6" max="8" width="0" hidden="1" customWidth="1"/>
    <col min="9" max="9" width="11.453125" style="3"/>
    <col min="10" max="12" width="0" hidden="1" customWidth="1"/>
    <col min="13" max="13" width="11.453125" style="4"/>
    <col min="14" max="14" width="11.453125" style="85"/>
    <col min="15" max="15" width="0" style="5" hidden="1" customWidth="1"/>
    <col min="17" max="17" width="0" hidden="1" customWidth="1"/>
    <col min="18" max="18" width="16.81640625" hidden="1" customWidth="1"/>
    <col min="19" max="19" width="0" hidden="1" customWidth="1"/>
    <col min="21" max="21" width="13.1796875" style="86" bestFit="1" customWidth="1"/>
  </cols>
  <sheetData>
    <row r="1" spans="1:22" x14ac:dyDescent="0.35">
      <c r="A1" s="86" t="s">
        <v>0</v>
      </c>
      <c r="B1" s="86" t="s">
        <v>1</v>
      </c>
      <c r="C1" s="86" t="s">
        <v>2</v>
      </c>
      <c r="D1" s="86" t="s">
        <v>258</v>
      </c>
      <c r="E1" s="86" t="s">
        <v>4</v>
      </c>
      <c r="F1" s="86" t="s">
        <v>5</v>
      </c>
      <c r="G1" s="86" t="s">
        <v>6</v>
      </c>
      <c r="H1" s="86" t="s">
        <v>7</v>
      </c>
      <c r="I1" s="34" t="s">
        <v>8</v>
      </c>
      <c r="J1" s="86" t="s">
        <v>9</v>
      </c>
      <c r="K1" s="86" t="s">
        <v>10</v>
      </c>
      <c r="L1" s="86" t="s">
        <v>11</v>
      </c>
      <c r="M1" s="35" t="s">
        <v>12</v>
      </c>
      <c r="N1" s="150" t="s">
        <v>269</v>
      </c>
      <c r="O1" s="32" t="s">
        <v>13</v>
      </c>
      <c r="P1" s="86" t="s">
        <v>14</v>
      </c>
      <c r="Q1" s="86" t="s">
        <v>247</v>
      </c>
      <c r="R1" s="86" t="s">
        <v>15</v>
      </c>
      <c r="S1" s="86" t="s">
        <v>16</v>
      </c>
      <c r="T1" s="86" t="s">
        <v>897</v>
      </c>
      <c r="U1" s="86" t="s">
        <v>283</v>
      </c>
      <c r="V1" s="86"/>
    </row>
    <row r="2" spans="1:22" x14ac:dyDescent="0.35">
      <c r="A2" s="86">
        <v>1</v>
      </c>
      <c r="B2" s="86">
        <v>5</v>
      </c>
      <c r="C2" s="86" t="s">
        <v>17</v>
      </c>
      <c r="D2" s="86">
        <v>1</v>
      </c>
      <c r="E2" s="86" t="s">
        <v>18</v>
      </c>
      <c r="F2" s="86" t="s">
        <v>19</v>
      </c>
      <c r="G2" s="86" t="s">
        <v>20</v>
      </c>
      <c r="H2" s="86" t="s">
        <v>21</v>
      </c>
      <c r="I2" s="34" t="s">
        <v>22</v>
      </c>
      <c r="J2" s="86" t="s">
        <v>23</v>
      </c>
      <c r="K2" s="86">
        <v>1</v>
      </c>
      <c r="L2" s="86">
        <v>1</v>
      </c>
      <c r="M2" s="35">
        <v>44466</v>
      </c>
      <c r="N2" s="150"/>
      <c r="O2" s="32" t="b">
        <v>0</v>
      </c>
      <c r="P2" s="86">
        <v>1</v>
      </c>
      <c r="Q2" s="86"/>
      <c r="R2" s="86"/>
      <c r="S2" s="86"/>
      <c r="T2" s="86"/>
      <c r="U2" s="86" t="s">
        <v>285</v>
      </c>
      <c r="V2" s="86"/>
    </row>
    <row r="3" spans="1:22" x14ac:dyDescent="0.35">
      <c r="A3" s="86">
        <v>1</v>
      </c>
      <c r="B3" s="86">
        <v>5</v>
      </c>
      <c r="C3" s="86" t="s">
        <v>17</v>
      </c>
      <c r="D3" s="86">
        <v>1</v>
      </c>
      <c r="E3" s="86" t="s">
        <v>18</v>
      </c>
      <c r="F3" s="86" t="s">
        <v>19</v>
      </c>
      <c r="G3" s="86" t="s">
        <v>20</v>
      </c>
      <c r="H3" s="86" t="s">
        <v>21</v>
      </c>
      <c r="I3" s="34" t="s">
        <v>22</v>
      </c>
      <c r="J3" s="86" t="s">
        <v>23</v>
      </c>
      <c r="K3" s="86">
        <v>1</v>
      </c>
      <c r="L3" s="86">
        <v>1</v>
      </c>
      <c r="M3" s="35">
        <v>44466</v>
      </c>
      <c r="N3" s="150"/>
      <c r="O3" s="32" t="b">
        <v>1</v>
      </c>
      <c r="P3" s="86">
        <v>2</v>
      </c>
      <c r="Q3" s="86"/>
      <c r="R3" s="86"/>
      <c r="S3" s="86"/>
      <c r="T3" s="86"/>
      <c r="U3" s="86" t="s">
        <v>285</v>
      </c>
      <c r="V3" s="86"/>
    </row>
    <row r="4" spans="1:22" x14ac:dyDescent="0.35">
      <c r="A4" s="86">
        <v>3</v>
      </c>
      <c r="B4" s="86">
        <v>5</v>
      </c>
      <c r="C4" s="86" t="s">
        <v>17</v>
      </c>
      <c r="D4" s="86">
        <v>5</v>
      </c>
      <c r="E4" s="86" t="s">
        <v>29</v>
      </c>
      <c r="F4" s="86" t="s">
        <v>19</v>
      </c>
      <c r="G4" s="86" t="s">
        <v>20</v>
      </c>
      <c r="H4" s="86" t="s">
        <v>21</v>
      </c>
      <c r="I4" s="34"/>
      <c r="J4" s="86"/>
      <c r="K4" s="86"/>
      <c r="L4" s="86"/>
      <c r="M4" s="35"/>
      <c r="N4" s="150"/>
      <c r="O4" s="32" t="b">
        <v>1</v>
      </c>
      <c r="P4" s="86">
        <v>6</v>
      </c>
      <c r="Q4" s="86"/>
      <c r="R4" s="86"/>
      <c r="S4" s="86"/>
      <c r="T4" s="86"/>
      <c r="U4" s="86" t="s">
        <v>285</v>
      </c>
      <c r="V4" s="86"/>
    </row>
    <row r="5" spans="1:22" x14ac:dyDescent="0.35">
      <c r="A5" s="86">
        <v>4</v>
      </c>
      <c r="B5" s="86">
        <v>5</v>
      </c>
      <c r="C5" s="86" t="s">
        <v>17</v>
      </c>
      <c r="D5" s="86">
        <v>7</v>
      </c>
      <c r="E5" s="86" t="s">
        <v>30</v>
      </c>
      <c r="F5" s="86" t="s">
        <v>19</v>
      </c>
      <c r="G5" s="86" t="s">
        <v>20</v>
      </c>
      <c r="H5" s="86" t="s">
        <v>25</v>
      </c>
      <c r="I5" s="34" t="s">
        <v>22</v>
      </c>
      <c r="J5" s="86" t="s">
        <v>23</v>
      </c>
      <c r="K5" s="86">
        <v>1</v>
      </c>
      <c r="L5" s="86">
        <v>1</v>
      </c>
      <c r="M5" s="35">
        <v>44466</v>
      </c>
      <c r="N5" s="150"/>
      <c r="O5" s="32" t="b">
        <v>0</v>
      </c>
      <c r="P5" s="86">
        <v>7</v>
      </c>
      <c r="Q5" s="86"/>
      <c r="R5" s="86"/>
      <c r="S5" s="86"/>
      <c r="T5" s="86"/>
      <c r="U5" s="86" t="s">
        <v>286</v>
      </c>
      <c r="V5" s="86"/>
    </row>
    <row r="6" spans="1:22" x14ac:dyDescent="0.35">
      <c r="A6" s="86">
        <v>4</v>
      </c>
      <c r="B6" s="86">
        <v>5</v>
      </c>
      <c r="C6" s="86" t="s">
        <v>17</v>
      </c>
      <c r="D6" s="86">
        <v>7</v>
      </c>
      <c r="E6" s="86" t="s">
        <v>30</v>
      </c>
      <c r="F6" s="86" t="s">
        <v>19</v>
      </c>
      <c r="G6" s="86" t="s">
        <v>20</v>
      </c>
      <c r="H6" s="86" t="s">
        <v>25</v>
      </c>
      <c r="I6" s="34" t="s">
        <v>22</v>
      </c>
      <c r="J6" s="86" t="s">
        <v>23</v>
      </c>
      <c r="K6" s="86">
        <v>1</v>
      </c>
      <c r="L6" s="86">
        <v>1</v>
      </c>
      <c r="M6" s="35">
        <v>44466</v>
      </c>
      <c r="N6" s="150"/>
      <c r="O6" s="32" t="b">
        <v>1</v>
      </c>
      <c r="P6" s="86">
        <v>8</v>
      </c>
      <c r="Q6" s="86"/>
      <c r="R6" s="86"/>
      <c r="S6" s="86"/>
      <c r="T6" s="86"/>
      <c r="U6" s="86" t="s">
        <v>286</v>
      </c>
      <c r="V6" s="86"/>
    </row>
    <row r="7" spans="1:22" x14ac:dyDescent="0.35">
      <c r="A7" s="86">
        <v>6</v>
      </c>
      <c r="B7" s="86">
        <v>5</v>
      </c>
      <c r="C7" s="86" t="s">
        <v>17</v>
      </c>
      <c r="D7" s="86">
        <v>11</v>
      </c>
      <c r="E7" s="86" t="s">
        <v>32</v>
      </c>
      <c r="F7" s="86" t="s">
        <v>19</v>
      </c>
      <c r="G7" s="86" t="s">
        <v>20</v>
      </c>
      <c r="H7" s="86" t="s">
        <v>25</v>
      </c>
      <c r="I7" s="34" t="s">
        <v>22</v>
      </c>
      <c r="J7" s="86" t="s">
        <v>23</v>
      </c>
      <c r="K7" s="86">
        <v>1</v>
      </c>
      <c r="L7" s="86">
        <v>2</v>
      </c>
      <c r="M7" s="35">
        <v>44466</v>
      </c>
      <c r="N7" s="150"/>
      <c r="O7" s="32" t="b">
        <v>0</v>
      </c>
      <c r="P7" s="86">
        <v>11</v>
      </c>
      <c r="Q7" s="86"/>
      <c r="R7" s="86"/>
      <c r="S7" s="86"/>
      <c r="T7" s="86"/>
      <c r="U7" s="86" t="s">
        <v>286</v>
      </c>
      <c r="V7" s="86"/>
    </row>
    <row r="8" spans="1:22" x14ac:dyDescent="0.35">
      <c r="A8" s="86">
        <v>6</v>
      </c>
      <c r="B8" s="86">
        <v>5</v>
      </c>
      <c r="C8" s="86" t="s">
        <v>17</v>
      </c>
      <c r="D8" s="86">
        <v>11</v>
      </c>
      <c r="E8" s="86" t="s">
        <v>32</v>
      </c>
      <c r="F8" s="86" t="s">
        <v>19</v>
      </c>
      <c r="G8" s="86" t="s">
        <v>20</v>
      </c>
      <c r="H8" s="86" t="s">
        <v>25</v>
      </c>
      <c r="I8" s="34" t="s">
        <v>22</v>
      </c>
      <c r="J8" s="86" t="s">
        <v>23</v>
      </c>
      <c r="K8" s="86">
        <v>1</v>
      </c>
      <c r="L8" s="86">
        <v>2</v>
      </c>
      <c r="M8" s="35">
        <v>44466</v>
      </c>
      <c r="N8" s="150"/>
      <c r="O8" s="32" t="b">
        <v>1</v>
      </c>
      <c r="P8" s="86">
        <v>12</v>
      </c>
      <c r="Q8" s="86"/>
      <c r="R8" s="86"/>
      <c r="S8" s="86"/>
      <c r="T8" s="86"/>
      <c r="U8" s="86" t="s">
        <v>286</v>
      </c>
      <c r="V8" s="86"/>
    </row>
    <row r="9" spans="1:22" x14ac:dyDescent="0.35">
      <c r="A9" s="86">
        <v>7</v>
      </c>
      <c r="B9" s="86">
        <v>5</v>
      </c>
      <c r="C9" s="86" t="s">
        <v>17</v>
      </c>
      <c r="D9" s="86">
        <v>13</v>
      </c>
      <c r="E9" s="86" t="s">
        <v>33</v>
      </c>
      <c r="F9" s="86" t="s">
        <v>19</v>
      </c>
      <c r="G9" s="86" t="s">
        <v>20</v>
      </c>
      <c r="H9" s="86" t="s">
        <v>21</v>
      </c>
      <c r="I9" s="34" t="s">
        <v>22</v>
      </c>
      <c r="J9" s="86" t="s">
        <v>23</v>
      </c>
      <c r="K9" s="86">
        <v>1</v>
      </c>
      <c r="L9" s="86">
        <v>2</v>
      </c>
      <c r="M9" s="35">
        <v>44466</v>
      </c>
      <c r="N9" s="150"/>
      <c r="O9" s="32" t="b">
        <v>0</v>
      </c>
      <c r="P9" s="86">
        <v>13</v>
      </c>
      <c r="Q9" s="86"/>
      <c r="R9" s="86"/>
      <c r="S9" s="86"/>
      <c r="T9" s="86"/>
      <c r="U9" s="86" t="s">
        <v>285</v>
      </c>
      <c r="V9" s="86"/>
    </row>
    <row r="10" spans="1:22" x14ac:dyDescent="0.35">
      <c r="A10" s="86">
        <v>7</v>
      </c>
      <c r="B10" s="86">
        <v>5</v>
      </c>
      <c r="C10" s="86" t="s">
        <v>17</v>
      </c>
      <c r="D10" s="86">
        <v>13</v>
      </c>
      <c r="E10" s="86" t="s">
        <v>33</v>
      </c>
      <c r="F10" s="86" t="s">
        <v>19</v>
      </c>
      <c r="G10" s="86" t="s">
        <v>20</v>
      </c>
      <c r="H10" s="86" t="s">
        <v>21</v>
      </c>
      <c r="I10" s="34" t="s">
        <v>22</v>
      </c>
      <c r="J10" s="86" t="s">
        <v>23</v>
      </c>
      <c r="K10" s="86">
        <v>1</v>
      </c>
      <c r="L10" s="86">
        <v>2</v>
      </c>
      <c r="M10" s="35">
        <v>44466</v>
      </c>
      <c r="N10" s="150"/>
      <c r="O10" s="32" t="b">
        <v>1</v>
      </c>
      <c r="P10" s="86">
        <v>14</v>
      </c>
      <c r="Q10" s="86"/>
      <c r="R10" s="86"/>
      <c r="S10" s="86"/>
      <c r="T10" s="86"/>
      <c r="U10" s="86" t="s">
        <v>285</v>
      </c>
      <c r="V10" s="86"/>
    </row>
    <row r="11" spans="1:22" x14ac:dyDescent="0.35">
      <c r="A11" s="86">
        <v>8</v>
      </c>
      <c r="B11" s="86">
        <v>5</v>
      </c>
      <c r="C11" s="86" t="s">
        <v>17</v>
      </c>
      <c r="D11" s="86">
        <v>15</v>
      </c>
      <c r="E11" s="86" t="s">
        <v>34</v>
      </c>
      <c r="F11" s="86" t="s">
        <v>19</v>
      </c>
      <c r="G11" s="86" t="s">
        <v>20</v>
      </c>
      <c r="H11" s="86" t="s">
        <v>25</v>
      </c>
      <c r="I11" s="34" t="s">
        <v>22</v>
      </c>
      <c r="J11" s="86" t="s">
        <v>23</v>
      </c>
      <c r="K11" s="86">
        <v>2</v>
      </c>
      <c r="L11" s="86">
        <v>2</v>
      </c>
      <c r="M11" s="35">
        <v>44481</v>
      </c>
      <c r="N11" s="150">
        <v>0.34375</v>
      </c>
      <c r="O11" s="32" t="b">
        <v>0</v>
      </c>
      <c r="P11" s="86">
        <v>15</v>
      </c>
      <c r="Q11" s="86"/>
      <c r="R11" s="86"/>
      <c r="S11" s="86"/>
      <c r="T11" s="86" t="str">
        <f>P11&amp;"-"&amp;P11+1</f>
        <v>15-16</v>
      </c>
      <c r="U11" s="86" t="s">
        <v>286</v>
      </c>
      <c r="V11" s="86"/>
    </row>
    <row r="12" spans="1:22" x14ac:dyDescent="0.35">
      <c r="A12" s="86">
        <v>1</v>
      </c>
      <c r="B12" s="86">
        <v>4</v>
      </c>
      <c r="C12" s="86" t="s">
        <v>17</v>
      </c>
      <c r="D12" s="86">
        <v>17</v>
      </c>
      <c r="E12" s="86" t="s">
        <v>36</v>
      </c>
      <c r="F12" s="86" t="s">
        <v>19</v>
      </c>
      <c r="G12" s="86" t="s">
        <v>20</v>
      </c>
      <c r="H12" s="86" t="s">
        <v>21</v>
      </c>
      <c r="I12" s="34" t="s">
        <v>22</v>
      </c>
      <c r="J12" s="86" t="s">
        <v>23</v>
      </c>
      <c r="K12" s="86">
        <v>2</v>
      </c>
      <c r="L12" s="86">
        <v>1</v>
      </c>
      <c r="M12" s="35">
        <v>44481</v>
      </c>
      <c r="N12" s="150">
        <v>0.34375</v>
      </c>
      <c r="O12" s="32" t="b">
        <v>0</v>
      </c>
      <c r="P12" s="86">
        <v>17</v>
      </c>
      <c r="Q12" s="86"/>
      <c r="R12" s="86"/>
      <c r="S12" s="86"/>
      <c r="T12" s="86" t="str">
        <f t="shared" ref="T12:T43" si="0">P12&amp;"-"&amp;P12+1</f>
        <v>17-18</v>
      </c>
      <c r="U12" s="86" t="s">
        <v>285</v>
      </c>
      <c r="V12" s="86"/>
    </row>
    <row r="13" spans="1:22" x14ac:dyDescent="0.35">
      <c r="A13" s="86">
        <v>2</v>
      </c>
      <c r="B13" s="86">
        <v>4</v>
      </c>
      <c r="C13" s="86" t="s">
        <v>17</v>
      </c>
      <c r="D13" s="86">
        <v>19</v>
      </c>
      <c r="E13" s="86" t="s">
        <v>37</v>
      </c>
      <c r="F13" s="86" t="s">
        <v>19</v>
      </c>
      <c r="G13" s="86" t="s">
        <v>20</v>
      </c>
      <c r="H13" s="86" t="s">
        <v>25</v>
      </c>
      <c r="I13" s="34" t="s">
        <v>22</v>
      </c>
      <c r="J13" s="86" t="s">
        <v>23</v>
      </c>
      <c r="K13" s="86">
        <v>2</v>
      </c>
      <c r="L13" s="86">
        <v>1</v>
      </c>
      <c r="M13" s="35">
        <v>44481</v>
      </c>
      <c r="N13" s="150">
        <v>0.34375</v>
      </c>
      <c r="O13" s="32" t="b">
        <v>0</v>
      </c>
      <c r="P13" s="86">
        <v>19</v>
      </c>
      <c r="Q13" s="86"/>
      <c r="R13" s="86"/>
      <c r="S13" s="86"/>
      <c r="T13" s="86" t="str">
        <f t="shared" si="0"/>
        <v>19-20</v>
      </c>
      <c r="U13" s="86" t="s">
        <v>286</v>
      </c>
      <c r="V13" s="86"/>
    </row>
    <row r="14" spans="1:22" x14ac:dyDescent="0.35">
      <c r="A14" s="86">
        <v>4</v>
      </c>
      <c r="B14" s="86">
        <v>4</v>
      </c>
      <c r="C14" s="86" t="s">
        <v>17</v>
      </c>
      <c r="D14" s="86">
        <v>23</v>
      </c>
      <c r="E14" s="86" t="s">
        <v>40</v>
      </c>
      <c r="F14" s="86" t="s">
        <v>19</v>
      </c>
      <c r="G14" s="86" t="s">
        <v>39</v>
      </c>
      <c r="H14" s="86" t="s">
        <v>25</v>
      </c>
      <c r="I14" s="34" t="s">
        <v>22</v>
      </c>
      <c r="J14" s="86" t="s">
        <v>23</v>
      </c>
      <c r="K14" s="86">
        <v>2</v>
      </c>
      <c r="L14" s="86">
        <v>1</v>
      </c>
      <c r="M14" s="35">
        <v>44482</v>
      </c>
      <c r="N14" s="150">
        <v>0.38541666666666669</v>
      </c>
      <c r="O14" s="32" t="b">
        <v>0</v>
      </c>
      <c r="P14" s="86">
        <v>23</v>
      </c>
      <c r="Q14" s="86"/>
      <c r="R14" s="86"/>
      <c r="S14" s="86"/>
      <c r="T14" s="86" t="str">
        <f t="shared" si="0"/>
        <v>23-24</v>
      </c>
      <c r="U14" s="86" t="s">
        <v>287</v>
      </c>
      <c r="V14" s="86"/>
    </row>
    <row r="15" spans="1:22" x14ac:dyDescent="0.35">
      <c r="A15" s="86">
        <v>5</v>
      </c>
      <c r="B15" s="86">
        <v>4</v>
      </c>
      <c r="C15" s="86" t="s">
        <v>17</v>
      </c>
      <c r="D15" s="86">
        <v>25</v>
      </c>
      <c r="E15" s="86" t="s">
        <v>41</v>
      </c>
      <c r="F15" s="86" t="s">
        <v>19</v>
      </c>
      <c r="G15" s="86" t="s">
        <v>39</v>
      </c>
      <c r="H15" s="86" t="s">
        <v>21</v>
      </c>
      <c r="I15" s="34" t="s">
        <v>22</v>
      </c>
      <c r="J15" s="86" t="s">
        <v>23</v>
      </c>
      <c r="K15" s="86">
        <v>2</v>
      </c>
      <c r="L15" s="86">
        <v>1</v>
      </c>
      <c r="M15" s="35">
        <v>44481</v>
      </c>
      <c r="N15" s="150">
        <v>0.47222222222222227</v>
      </c>
      <c r="O15" s="32" t="b">
        <v>0</v>
      </c>
      <c r="P15" s="86">
        <v>25</v>
      </c>
      <c r="Q15" s="86"/>
      <c r="R15" s="86"/>
      <c r="S15" s="86"/>
      <c r="T15" s="86" t="str">
        <f t="shared" si="0"/>
        <v>25-26</v>
      </c>
      <c r="U15" s="86" t="s">
        <v>288</v>
      </c>
      <c r="V15" s="86"/>
    </row>
    <row r="16" spans="1:22" x14ac:dyDescent="0.35">
      <c r="A16" s="86">
        <v>6</v>
      </c>
      <c r="B16" s="86">
        <v>4</v>
      </c>
      <c r="C16" s="86" t="s">
        <v>17</v>
      </c>
      <c r="D16" s="86">
        <v>27</v>
      </c>
      <c r="E16" s="86" t="s">
        <v>42</v>
      </c>
      <c r="F16" s="86" t="s">
        <v>19</v>
      </c>
      <c r="G16" s="86" t="s">
        <v>20</v>
      </c>
      <c r="H16" s="86" t="s">
        <v>21</v>
      </c>
      <c r="I16" s="34" t="s">
        <v>22</v>
      </c>
      <c r="J16" s="86" t="s">
        <v>23</v>
      </c>
      <c r="K16" s="86">
        <v>2</v>
      </c>
      <c r="L16" s="86">
        <v>2</v>
      </c>
      <c r="M16" s="35">
        <v>44481</v>
      </c>
      <c r="N16" s="150">
        <v>0.47222222222222227</v>
      </c>
      <c r="O16" s="32" t="b">
        <v>0</v>
      </c>
      <c r="P16" s="86">
        <v>27</v>
      </c>
      <c r="Q16" s="86"/>
      <c r="R16" s="86"/>
      <c r="S16" s="86"/>
      <c r="T16" s="86" t="str">
        <f t="shared" si="0"/>
        <v>27-28</v>
      </c>
      <c r="U16" s="86" t="s">
        <v>285</v>
      </c>
      <c r="V16" s="86"/>
    </row>
    <row r="17" spans="1:22" x14ac:dyDescent="0.35">
      <c r="A17" s="86">
        <v>7</v>
      </c>
      <c r="B17" s="86">
        <v>4</v>
      </c>
      <c r="C17" s="86" t="s">
        <v>17</v>
      </c>
      <c r="D17" s="86">
        <v>29</v>
      </c>
      <c r="E17" s="86" t="s">
        <v>43</v>
      </c>
      <c r="F17" s="86" t="s">
        <v>19</v>
      </c>
      <c r="G17" s="86" t="s">
        <v>20</v>
      </c>
      <c r="H17" s="86" t="s">
        <v>25</v>
      </c>
      <c r="I17" s="34" t="s">
        <v>22</v>
      </c>
      <c r="J17" s="86" t="s">
        <v>23</v>
      </c>
      <c r="K17" s="86">
        <v>2</v>
      </c>
      <c r="L17" s="86">
        <v>2</v>
      </c>
      <c r="M17" s="35">
        <v>44481</v>
      </c>
      <c r="N17" s="150">
        <v>0.47222222222222227</v>
      </c>
      <c r="O17" s="32" t="b">
        <v>0</v>
      </c>
      <c r="P17" s="86">
        <v>29</v>
      </c>
      <c r="Q17" s="86"/>
      <c r="R17" s="86"/>
      <c r="S17" s="86"/>
      <c r="T17" s="86" t="str">
        <f t="shared" si="0"/>
        <v>29-30</v>
      </c>
      <c r="U17" s="86" t="s">
        <v>286</v>
      </c>
      <c r="V17" s="86"/>
    </row>
    <row r="18" spans="1:22" x14ac:dyDescent="0.35">
      <c r="A18" s="86">
        <v>9</v>
      </c>
      <c r="B18" s="86">
        <v>4</v>
      </c>
      <c r="C18" s="86" t="s">
        <v>17</v>
      </c>
      <c r="D18" s="86">
        <v>33</v>
      </c>
      <c r="E18" s="86" t="s">
        <v>45</v>
      </c>
      <c r="F18" s="86" t="s">
        <v>19</v>
      </c>
      <c r="G18" s="86" t="s">
        <v>39</v>
      </c>
      <c r="H18" s="86" t="s">
        <v>25</v>
      </c>
      <c r="I18" s="34" t="s">
        <v>22</v>
      </c>
      <c r="J18" s="86" t="s">
        <v>23</v>
      </c>
      <c r="K18" s="86">
        <v>2</v>
      </c>
      <c r="L18" s="86">
        <v>2</v>
      </c>
      <c r="M18" s="35">
        <v>44481</v>
      </c>
      <c r="N18" s="150">
        <v>0.47222222222222227</v>
      </c>
      <c r="O18" s="32" t="b">
        <v>0</v>
      </c>
      <c r="P18" s="86">
        <v>33</v>
      </c>
      <c r="Q18" s="86"/>
      <c r="R18" s="86"/>
      <c r="S18" s="86"/>
      <c r="T18" s="86" t="str">
        <f t="shared" si="0"/>
        <v>33-34</v>
      </c>
      <c r="U18" s="86" t="s">
        <v>287</v>
      </c>
      <c r="V18" s="86"/>
    </row>
    <row r="19" spans="1:22" x14ac:dyDescent="0.35">
      <c r="A19" s="86">
        <v>11</v>
      </c>
      <c r="B19" s="86">
        <v>4</v>
      </c>
      <c r="C19" s="86" t="s">
        <v>17</v>
      </c>
      <c r="D19" s="86">
        <v>37</v>
      </c>
      <c r="E19" s="86" t="s">
        <v>47</v>
      </c>
      <c r="F19" s="86" t="s">
        <v>19</v>
      </c>
      <c r="G19" s="86" t="s">
        <v>39</v>
      </c>
      <c r="H19" s="86" t="s">
        <v>21</v>
      </c>
      <c r="I19" s="34" t="s">
        <v>22</v>
      </c>
      <c r="J19" s="86" t="s">
        <v>23</v>
      </c>
      <c r="K19" s="86">
        <v>2</v>
      </c>
      <c r="L19" s="86">
        <v>2</v>
      </c>
      <c r="M19" s="35">
        <v>44481</v>
      </c>
      <c r="N19" s="150">
        <v>0.47222222222222227</v>
      </c>
      <c r="O19" s="32" t="b">
        <v>0</v>
      </c>
      <c r="P19" s="86">
        <v>37</v>
      </c>
      <c r="Q19" s="86"/>
      <c r="R19" s="86"/>
      <c r="S19" s="86"/>
      <c r="T19" s="86" t="str">
        <f t="shared" si="0"/>
        <v>37-38</v>
      </c>
      <c r="U19" s="86" t="s">
        <v>288</v>
      </c>
      <c r="V19" s="86"/>
    </row>
    <row r="20" spans="1:22" x14ac:dyDescent="0.35">
      <c r="A20" s="86">
        <v>12</v>
      </c>
      <c r="B20" s="86">
        <v>4</v>
      </c>
      <c r="C20" s="86" t="s">
        <v>17</v>
      </c>
      <c r="D20" s="86">
        <v>39</v>
      </c>
      <c r="E20" s="86" t="s">
        <v>48</v>
      </c>
      <c r="F20" s="86" t="s">
        <v>19</v>
      </c>
      <c r="G20" s="86" t="s">
        <v>20</v>
      </c>
      <c r="H20" s="86" t="s">
        <v>21</v>
      </c>
      <c r="I20" s="34" t="s">
        <v>22</v>
      </c>
      <c r="J20" s="86" t="s">
        <v>23</v>
      </c>
      <c r="K20" s="86">
        <v>2</v>
      </c>
      <c r="L20" s="86">
        <v>3</v>
      </c>
      <c r="M20" s="35">
        <v>44481</v>
      </c>
      <c r="N20" s="150">
        <v>0.47222222222222227</v>
      </c>
      <c r="O20" s="32" t="b">
        <v>0</v>
      </c>
      <c r="P20" s="86">
        <v>39</v>
      </c>
      <c r="Q20" s="86"/>
      <c r="R20" s="86"/>
      <c r="S20" s="86"/>
      <c r="T20" s="86" t="str">
        <f t="shared" si="0"/>
        <v>39-40</v>
      </c>
      <c r="U20" s="86" t="s">
        <v>285</v>
      </c>
      <c r="V20" s="86"/>
    </row>
    <row r="21" spans="1:22" x14ac:dyDescent="0.35">
      <c r="A21" s="86">
        <v>13</v>
      </c>
      <c r="B21" s="86">
        <v>4</v>
      </c>
      <c r="C21" s="86" t="s">
        <v>17</v>
      </c>
      <c r="D21" s="86">
        <v>41</v>
      </c>
      <c r="E21" s="86" t="s">
        <v>49</v>
      </c>
      <c r="F21" s="86" t="s">
        <v>19</v>
      </c>
      <c r="G21" s="86" t="s">
        <v>39</v>
      </c>
      <c r="H21" s="86" t="s">
        <v>21</v>
      </c>
      <c r="I21" s="34" t="s">
        <v>22</v>
      </c>
      <c r="J21" s="86" t="s">
        <v>23</v>
      </c>
      <c r="K21" s="86">
        <v>2</v>
      </c>
      <c r="L21" s="86">
        <v>3</v>
      </c>
      <c r="M21" s="35">
        <v>44481</v>
      </c>
      <c r="N21" s="150">
        <v>0.47222222222222227</v>
      </c>
      <c r="O21" s="32" t="b">
        <v>0</v>
      </c>
      <c r="P21" s="86">
        <v>41</v>
      </c>
      <c r="Q21" s="86"/>
      <c r="R21" s="86"/>
      <c r="S21" s="86"/>
      <c r="T21" s="86" t="str">
        <f t="shared" si="0"/>
        <v>41-42</v>
      </c>
      <c r="U21" s="86" t="s">
        <v>288</v>
      </c>
      <c r="V21" s="86"/>
    </row>
    <row r="22" spans="1:22" x14ac:dyDescent="0.35">
      <c r="A22" s="86">
        <v>16</v>
      </c>
      <c r="B22" s="86">
        <v>4</v>
      </c>
      <c r="C22" s="86" t="s">
        <v>17</v>
      </c>
      <c r="D22" s="86">
        <v>47</v>
      </c>
      <c r="E22" s="86" t="s">
        <v>56</v>
      </c>
      <c r="F22" s="86" t="s">
        <v>19</v>
      </c>
      <c r="G22" s="86" t="s">
        <v>39</v>
      </c>
      <c r="H22" s="86" t="s">
        <v>25</v>
      </c>
      <c r="I22" s="34" t="s">
        <v>22</v>
      </c>
      <c r="J22" s="86" t="s">
        <v>23</v>
      </c>
      <c r="K22" s="86">
        <v>2</v>
      </c>
      <c r="L22" s="86">
        <v>3</v>
      </c>
      <c r="M22" s="35">
        <v>44482</v>
      </c>
      <c r="N22" s="150">
        <v>0.38541666666666669</v>
      </c>
      <c r="O22" s="32" t="b">
        <v>0</v>
      </c>
      <c r="P22" s="86">
        <v>47</v>
      </c>
      <c r="Q22" s="86"/>
      <c r="R22" s="86"/>
      <c r="S22" s="86"/>
      <c r="T22" s="86" t="str">
        <f t="shared" si="0"/>
        <v>47-48</v>
      </c>
      <c r="U22" s="86" t="s">
        <v>287</v>
      </c>
      <c r="V22" s="86"/>
    </row>
    <row r="23" spans="1:22" x14ac:dyDescent="0.35">
      <c r="A23" s="86">
        <v>19</v>
      </c>
      <c r="B23" s="86">
        <v>4</v>
      </c>
      <c r="C23" s="86" t="s">
        <v>17</v>
      </c>
      <c r="D23" s="86">
        <v>53</v>
      </c>
      <c r="E23" s="86" t="s">
        <v>60</v>
      </c>
      <c r="F23" s="86" t="s">
        <v>19</v>
      </c>
      <c r="G23" s="86" t="s">
        <v>20</v>
      </c>
      <c r="H23" s="86" t="s">
        <v>21</v>
      </c>
      <c r="I23" s="34" t="s">
        <v>22</v>
      </c>
      <c r="J23" s="86" t="s">
        <v>23</v>
      </c>
      <c r="K23" s="86">
        <v>2</v>
      </c>
      <c r="L23" s="86"/>
      <c r="M23" s="35">
        <v>44482</v>
      </c>
      <c r="N23" s="150">
        <v>0.38541666666666669</v>
      </c>
      <c r="O23" s="32" t="b">
        <v>0</v>
      </c>
      <c r="P23" s="86">
        <v>53</v>
      </c>
      <c r="Q23" s="86"/>
      <c r="R23" s="86"/>
      <c r="S23" s="86"/>
      <c r="T23" s="86" t="str">
        <f t="shared" si="0"/>
        <v>53-54</v>
      </c>
      <c r="U23" s="86" t="s">
        <v>285</v>
      </c>
      <c r="V23" s="86"/>
    </row>
    <row r="24" spans="1:22" x14ac:dyDescent="0.35">
      <c r="A24" s="86">
        <v>20</v>
      </c>
      <c r="B24" s="86">
        <v>4</v>
      </c>
      <c r="C24" s="86" t="s">
        <v>17</v>
      </c>
      <c r="D24" s="86">
        <v>55</v>
      </c>
      <c r="E24" s="86" t="s">
        <v>61</v>
      </c>
      <c r="F24" s="86" t="s">
        <v>19</v>
      </c>
      <c r="G24" s="86" t="s">
        <v>20</v>
      </c>
      <c r="H24" s="86" t="s">
        <v>25</v>
      </c>
      <c r="I24" s="34" t="s">
        <v>22</v>
      </c>
      <c r="J24" s="86" t="s">
        <v>23</v>
      </c>
      <c r="K24" s="86">
        <v>2</v>
      </c>
      <c r="L24" s="86"/>
      <c r="M24" s="35">
        <v>44482</v>
      </c>
      <c r="N24" s="150">
        <v>0.38541666666666669</v>
      </c>
      <c r="O24" s="32" t="b">
        <v>0</v>
      </c>
      <c r="P24" s="86">
        <v>55</v>
      </c>
      <c r="Q24" s="86"/>
      <c r="R24" s="86"/>
      <c r="S24" s="86"/>
      <c r="T24" s="86" t="str">
        <f t="shared" si="0"/>
        <v>55-56</v>
      </c>
      <c r="U24" s="86" t="s">
        <v>286</v>
      </c>
      <c r="V24" s="86"/>
    </row>
    <row r="25" spans="1:22" x14ac:dyDescent="0.35">
      <c r="A25" s="86">
        <v>1</v>
      </c>
      <c r="B25" s="86">
        <v>3</v>
      </c>
      <c r="C25" s="86" t="s">
        <v>17</v>
      </c>
      <c r="D25" s="86">
        <v>61</v>
      </c>
      <c r="E25" s="86" t="s">
        <v>65</v>
      </c>
      <c r="F25" s="86" t="s">
        <v>19</v>
      </c>
      <c r="G25" s="86" t="s">
        <v>39</v>
      </c>
      <c r="H25" s="86" t="s">
        <v>21</v>
      </c>
      <c r="I25" s="34" t="s">
        <v>22</v>
      </c>
      <c r="J25" s="86" t="s">
        <v>23</v>
      </c>
      <c r="K25" s="86">
        <v>2</v>
      </c>
      <c r="L25" s="86">
        <v>4</v>
      </c>
      <c r="M25" s="35">
        <v>44481</v>
      </c>
      <c r="N25" s="150">
        <v>0.34375</v>
      </c>
      <c r="O25" s="32" t="b">
        <v>0</v>
      </c>
      <c r="P25" s="86">
        <v>61</v>
      </c>
      <c r="Q25" s="86"/>
      <c r="R25" s="86"/>
      <c r="S25" s="86"/>
      <c r="T25" s="86" t="str">
        <f t="shared" si="0"/>
        <v>61-62</v>
      </c>
      <c r="U25" s="86" t="s">
        <v>288</v>
      </c>
      <c r="V25" s="86"/>
    </row>
    <row r="26" spans="1:22" x14ac:dyDescent="0.35">
      <c r="A26" s="86">
        <v>4</v>
      </c>
      <c r="B26" s="86">
        <v>3</v>
      </c>
      <c r="C26" s="86" t="s">
        <v>17</v>
      </c>
      <c r="D26" s="86">
        <v>67</v>
      </c>
      <c r="E26" s="86" t="s">
        <v>72</v>
      </c>
      <c r="F26" s="86" t="s">
        <v>19</v>
      </c>
      <c r="G26" s="86" t="s">
        <v>20</v>
      </c>
      <c r="H26" s="86" t="s">
        <v>25</v>
      </c>
      <c r="I26" s="34" t="s">
        <v>22</v>
      </c>
      <c r="J26" s="86" t="s">
        <v>23</v>
      </c>
      <c r="K26" s="86">
        <v>2</v>
      </c>
      <c r="L26" s="86">
        <v>4</v>
      </c>
      <c r="M26" s="35">
        <v>44482</v>
      </c>
      <c r="N26" s="150">
        <v>0.38541666666666669</v>
      </c>
      <c r="O26" s="32" t="b">
        <v>0</v>
      </c>
      <c r="P26" s="86">
        <v>67</v>
      </c>
      <c r="Q26" s="86"/>
      <c r="R26" s="86"/>
      <c r="S26" s="86"/>
      <c r="T26" s="86" t="str">
        <f t="shared" si="0"/>
        <v>67-68</v>
      </c>
      <c r="U26" s="86" t="s">
        <v>286</v>
      </c>
      <c r="V26" s="86"/>
    </row>
    <row r="27" spans="1:22" x14ac:dyDescent="0.35">
      <c r="A27" s="86">
        <v>6</v>
      </c>
      <c r="B27" s="86">
        <v>3</v>
      </c>
      <c r="C27" s="86" t="s">
        <v>17</v>
      </c>
      <c r="D27" s="86">
        <v>71</v>
      </c>
      <c r="E27" s="86" t="s">
        <v>74</v>
      </c>
      <c r="F27" s="86" t="s">
        <v>19</v>
      </c>
      <c r="G27" s="86" t="s">
        <v>39</v>
      </c>
      <c r="H27" s="86" t="s">
        <v>25</v>
      </c>
      <c r="I27" s="34" t="s">
        <v>22</v>
      </c>
      <c r="J27" s="86" t="s">
        <v>23</v>
      </c>
      <c r="K27" s="86">
        <v>2</v>
      </c>
      <c r="L27" s="86">
        <v>4</v>
      </c>
      <c r="M27" s="35">
        <v>44482</v>
      </c>
      <c r="N27" s="150">
        <v>0.38541666666666669</v>
      </c>
      <c r="O27" s="32" t="b">
        <v>0</v>
      </c>
      <c r="P27" s="86">
        <v>71</v>
      </c>
      <c r="Q27" s="86"/>
      <c r="R27" s="86"/>
      <c r="S27" s="86"/>
      <c r="T27" s="86" t="str">
        <f t="shared" si="0"/>
        <v>71-72</v>
      </c>
      <c r="U27" s="86" t="s">
        <v>287</v>
      </c>
      <c r="V27" s="86"/>
    </row>
    <row r="28" spans="1:22" x14ac:dyDescent="0.35">
      <c r="A28" s="86">
        <v>8</v>
      </c>
      <c r="B28" s="86">
        <v>3</v>
      </c>
      <c r="C28" s="86" t="s">
        <v>17</v>
      </c>
      <c r="D28" s="86">
        <v>75</v>
      </c>
      <c r="E28" s="86" t="s">
        <v>76</v>
      </c>
      <c r="F28" s="86" t="s">
        <v>19</v>
      </c>
      <c r="G28" s="86" t="s">
        <v>39</v>
      </c>
      <c r="H28" s="86" t="s">
        <v>21</v>
      </c>
      <c r="I28" s="34" t="s">
        <v>22</v>
      </c>
      <c r="J28" s="86" t="s">
        <v>23</v>
      </c>
      <c r="K28" s="86">
        <v>2</v>
      </c>
      <c r="L28" s="86">
        <v>5</v>
      </c>
      <c r="M28" s="35">
        <v>44482</v>
      </c>
      <c r="N28" s="150">
        <v>0.51041666666666663</v>
      </c>
      <c r="O28" s="32" t="b">
        <v>0</v>
      </c>
      <c r="P28" s="86">
        <v>75</v>
      </c>
      <c r="Q28" s="86"/>
      <c r="R28" s="86"/>
      <c r="S28" s="86"/>
      <c r="T28" s="86" t="str">
        <f t="shared" si="0"/>
        <v>75-76</v>
      </c>
      <c r="U28" s="86" t="s">
        <v>288</v>
      </c>
      <c r="V28" s="86"/>
    </row>
    <row r="29" spans="1:22" x14ac:dyDescent="0.35">
      <c r="A29" s="86">
        <v>10</v>
      </c>
      <c r="B29" s="86">
        <v>3</v>
      </c>
      <c r="C29" s="86" t="s">
        <v>17</v>
      </c>
      <c r="D29" s="86">
        <v>79</v>
      </c>
      <c r="E29" s="86" t="s">
        <v>78</v>
      </c>
      <c r="F29" s="86" t="s">
        <v>19</v>
      </c>
      <c r="G29" s="86" t="s">
        <v>20</v>
      </c>
      <c r="H29" s="86" t="s">
        <v>21</v>
      </c>
      <c r="I29" s="34" t="s">
        <v>22</v>
      </c>
      <c r="J29" s="86" t="s">
        <v>23</v>
      </c>
      <c r="K29" s="86">
        <v>2</v>
      </c>
      <c r="L29" s="86">
        <v>5</v>
      </c>
      <c r="M29" s="35">
        <v>44482</v>
      </c>
      <c r="N29" s="150">
        <v>0.51041666666666663</v>
      </c>
      <c r="O29" s="32" t="b">
        <v>0</v>
      </c>
      <c r="P29" s="86">
        <v>79</v>
      </c>
      <c r="Q29" s="86"/>
      <c r="R29" s="86"/>
      <c r="S29" s="86"/>
      <c r="T29" s="86" t="str">
        <f t="shared" si="0"/>
        <v>79-80</v>
      </c>
      <c r="U29" s="86" t="s">
        <v>285</v>
      </c>
      <c r="V29" s="86"/>
    </row>
    <row r="30" spans="1:22" x14ac:dyDescent="0.35">
      <c r="A30" s="86">
        <v>12</v>
      </c>
      <c r="B30" s="86">
        <v>3</v>
      </c>
      <c r="C30" s="86" t="s">
        <v>17</v>
      </c>
      <c r="D30" s="86">
        <v>83</v>
      </c>
      <c r="E30" s="86" t="s">
        <v>80</v>
      </c>
      <c r="F30" s="86" t="s">
        <v>19</v>
      </c>
      <c r="G30" s="86" t="s">
        <v>20</v>
      </c>
      <c r="H30" s="86" t="s">
        <v>25</v>
      </c>
      <c r="I30" s="34" t="s">
        <v>22</v>
      </c>
      <c r="J30" s="86" t="s">
        <v>23</v>
      </c>
      <c r="K30" s="86">
        <v>2</v>
      </c>
      <c r="L30" s="86">
        <v>5</v>
      </c>
      <c r="M30" s="35">
        <v>44482</v>
      </c>
      <c r="N30" s="150">
        <v>0.51041666666666663</v>
      </c>
      <c r="O30" s="32" t="b">
        <v>0</v>
      </c>
      <c r="P30" s="86">
        <v>83</v>
      </c>
      <c r="Q30" s="86"/>
      <c r="R30" s="86"/>
      <c r="S30" s="86"/>
      <c r="T30" s="86" t="str">
        <f t="shared" si="0"/>
        <v>83-84</v>
      </c>
      <c r="U30" s="86" t="s">
        <v>286</v>
      </c>
      <c r="V30" s="86"/>
    </row>
    <row r="31" spans="1:22" x14ac:dyDescent="0.35">
      <c r="A31" s="86">
        <v>14</v>
      </c>
      <c r="B31" s="86">
        <v>3</v>
      </c>
      <c r="C31" s="86" t="s">
        <v>17</v>
      </c>
      <c r="D31" s="86">
        <v>87</v>
      </c>
      <c r="E31" s="86" t="s">
        <v>82</v>
      </c>
      <c r="F31" s="86" t="s">
        <v>19</v>
      </c>
      <c r="G31" s="86" t="s">
        <v>39</v>
      </c>
      <c r="H31" s="86" t="s">
        <v>25</v>
      </c>
      <c r="I31" s="34" t="s">
        <v>22</v>
      </c>
      <c r="J31" s="86" t="s">
        <v>23</v>
      </c>
      <c r="K31" s="86">
        <v>2</v>
      </c>
      <c r="L31" s="86">
        <v>5</v>
      </c>
      <c r="M31" s="35">
        <v>44482</v>
      </c>
      <c r="N31" s="150">
        <v>0.51041666666666663</v>
      </c>
      <c r="O31" s="32" t="b">
        <v>0</v>
      </c>
      <c r="P31" s="86">
        <v>87</v>
      </c>
      <c r="Q31" s="86"/>
      <c r="R31" s="86"/>
      <c r="S31" s="86"/>
      <c r="T31" s="86" t="str">
        <f t="shared" si="0"/>
        <v>87-88</v>
      </c>
      <c r="U31" s="86" t="s">
        <v>287</v>
      </c>
      <c r="V31" s="86"/>
    </row>
    <row r="32" spans="1:22" x14ac:dyDescent="0.35">
      <c r="A32" s="86">
        <v>16</v>
      </c>
      <c r="B32" s="86">
        <v>3</v>
      </c>
      <c r="C32" s="86" t="s">
        <v>17</v>
      </c>
      <c r="D32" s="86">
        <v>91</v>
      </c>
      <c r="E32" s="86" t="s">
        <v>84</v>
      </c>
      <c r="F32" s="86" t="s">
        <v>19</v>
      </c>
      <c r="G32" s="86" t="s">
        <v>39</v>
      </c>
      <c r="H32" s="86" t="s">
        <v>21</v>
      </c>
      <c r="I32" s="34" t="s">
        <v>22</v>
      </c>
      <c r="J32" s="86" t="s">
        <v>23</v>
      </c>
      <c r="K32" s="86">
        <v>2</v>
      </c>
      <c r="L32" s="86">
        <v>6</v>
      </c>
      <c r="M32" s="35">
        <v>44482</v>
      </c>
      <c r="N32" s="150">
        <v>0.51041666666666663</v>
      </c>
      <c r="O32" s="32" t="b">
        <v>0</v>
      </c>
      <c r="P32" s="86">
        <v>91</v>
      </c>
      <c r="Q32" s="86"/>
      <c r="R32" s="86"/>
      <c r="S32" s="86"/>
      <c r="T32" s="86" t="str">
        <f t="shared" si="0"/>
        <v>91-92</v>
      </c>
      <c r="U32" s="86" t="s">
        <v>288</v>
      </c>
      <c r="V32" s="86"/>
    </row>
    <row r="33" spans="1:22" x14ac:dyDescent="0.35">
      <c r="A33" s="86">
        <v>17</v>
      </c>
      <c r="B33" s="86">
        <v>3</v>
      </c>
      <c r="C33" s="86" t="s">
        <v>17</v>
      </c>
      <c r="D33" s="86">
        <v>93</v>
      </c>
      <c r="E33" s="86" t="s">
        <v>85</v>
      </c>
      <c r="F33" s="86" t="s">
        <v>19</v>
      </c>
      <c r="G33" s="86" t="s">
        <v>20</v>
      </c>
      <c r="H33" s="86" t="s">
        <v>21</v>
      </c>
      <c r="I33" s="34" t="s">
        <v>22</v>
      </c>
      <c r="J33" s="86" t="s">
        <v>23</v>
      </c>
      <c r="K33" s="86">
        <v>2</v>
      </c>
      <c r="L33" s="86">
        <v>6</v>
      </c>
      <c r="M33" s="35">
        <v>44483</v>
      </c>
      <c r="N33" s="150">
        <v>0.34375</v>
      </c>
      <c r="O33" s="32" t="b">
        <v>0</v>
      </c>
      <c r="P33" s="86">
        <v>93</v>
      </c>
      <c r="Q33" s="86"/>
      <c r="R33" s="86"/>
      <c r="S33" s="86"/>
      <c r="T33" s="86" t="str">
        <f t="shared" si="0"/>
        <v>93-94</v>
      </c>
      <c r="U33" s="86" t="s">
        <v>285</v>
      </c>
      <c r="V33" s="86"/>
    </row>
    <row r="34" spans="1:22" x14ac:dyDescent="0.35">
      <c r="A34" s="86">
        <v>20</v>
      </c>
      <c r="B34" s="86">
        <v>3</v>
      </c>
      <c r="C34" s="86" t="s">
        <v>17</v>
      </c>
      <c r="D34" s="86">
        <v>99</v>
      </c>
      <c r="E34" s="86" t="s">
        <v>90</v>
      </c>
      <c r="F34" s="86" t="s">
        <v>19</v>
      </c>
      <c r="G34" s="86" t="s">
        <v>39</v>
      </c>
      <c r="H34" s="86" t="s">
        <v>25</v>
      </c>
      <c r="I34" s="34" t="s">
        <v>22</v>
      </c>
      <c r="J34" s="86" t="s">
        <v>23</v>
      </c>
      <c r="K34" s="86">
        <v>2</v>
      </c>
      <c r="L34" s="86">
        <v>6</v>
      </c>
      <c r="M34" s="35">
        <v>44483</v>
      </c>
      <c r="N34" s="150">
        <v>0.34375</v>
      </c>
      <c r="O34" s="32" t="b">
        <v>0</v>
      </c>
      <c r="P34" s="86">
        <v>99</v>
      </c>
      <c r="Q34" s="86"/>
      <c r="R34" s="86"/>
      <c r="S34" s="86"/>
      <c r="T34" s="86" t="str">
        <f t="shared" si="0"/>
        <v>99-100</v>
      </c>
      <c r="U34" s="86" t="s">
        <v>287</v>
      </c>
      <c r="V34" s="86"/>
    </row>
    <row r="35" spans="1:22" x14ac:dyDescent="0.35">
      <c r="A35" s="86">
        <v>1</v>
      </c>
      <c r="B35" s="86">
        <v>2</v>
      </c>
      <c r="C35" s="86" t="s">
        <v>17</v>
      </c>
      <c r="D35" s="86">
        <v>103</v>
      </c>
      <c r="E35" s="86" t="s">
        <v>92</v>
      </c>
      <c r="F35" s="86" t="s">
        <v>19</v>
      </c>
      <c r="G35" s="86" t="s">
        <v>39</v>
      </c>
      <c r="H35" s="86" t="s">
        <v>25</v>
      </c>
      <c r="I35" s="34" t="s">
        <v>22</v>
      </c>
      <c r="J35" s="86" t="s">
        <v>23</v>
      </c>
      <c r="K35" s="86">
        <v>2</v>
      </c>
      <c r="L35" s="86">
        <v>7</v>
      </c>
      <c r="M35" s="35">
        <v>44483</v>
      </c>
      <c r="N35" s="150">
        <v>0.34375</v>
      </c>
      <c r="O35" s="32" t="b">
        <v>0</v>
      </c>
      <c r="P35" s="86">
        <v>103</v>
      </c>
      <c r="Q35" s="86"/>
      <c r="R35" s="86"/>
      <c r="S35" s="86"/>
      <c r="T35" s="86" t="str">
        <f t="shared" si="0"/>
        <v>103-104</v>
      </c>
      <c r="U35" s="86" t="s">
        <v>287</v>
      </c>
      <c r="V35" s="86"/>
    </row>
    <row r="36" spans="1:22" x14ac:dyDescent="0.35">
      <c r="A36" s="86">
        <v>2</v>
      </c>
      <c r="B36" s="86">
        <v>2</v>
      </c>
      <c r="C36" s="86" t="s">
        <v>17</v>
      </c>
      <c r="D36" s="86">
        <v>105</v>
      </c>
      <c r="E36" s="86" t="s">
        <v>93</v>
      </c>
      <c r="F36" s="86" t="s">
        <v>19</v>
      </c>
      <c r="G36" s="86" t="s">
        <v>39</v>
      </c>
      <c r="H36" s="86" t="s">
        <v>21</v>
      </c>
      <c r="I36" s="34" t="s">
        <v>22</v>
      </c>
      <c r="J36" s="86" t="s">
        <v>23</v>
      </c>
      <c r="K36" s="86">
        <v>2</v>
      </c>
      <c r="L36" s="86">
        <v>7</v>
      </c>
      <c r="M36" s="35">
        <v>44483</v>
      </c>
      <c r="N36" s="150">
        <v>0.34375</v>
      </c>
      <c r="O36" s="32" t="b">
        <v>0</v>
      </c>
      <c r="P36" s="86">
        <v>105</v>
      </c>
      <c r="Q36" s="86"/>
      <c r="R36" s="86"/>
      <c r="S36" s="86"/>
      <c r="T36" s="86" t="str">
        <f t="shared" si="0"/>
        <v>105-106</v>
      </c>
      <c r="U36" s="86" t="s">
        <v>288</v>
      </c>
      <c r="V36" s="86"/>
    </row>
    <row r="37" spans="1:22" x14ac:dyDescent="0.35">
      <c r="A37" s="86">
        <v>4</v>
      </c>
      <c r="B37" s="86">
        <v>2</v>
      </c>
      <c r="C37" s="86" t="s">
        <v>17</v>
      </c>
      <c r="D37" s="86">
        <v>109</v>
      </c>
      <c r="E37" s="86" t="s">
        <v>95</v>
      </c>
      <c r="F37" s="86" t="s">
        <v>19</v>
      </c>
      <c r="G37" s="86" t="s">
        <v>20</v>
      </c>
      <c r="H37" s="86" t="s">
        <v>21</v>
      </c>
      <c r="I37" s="34" t="s">
        <v>22</v>
      </c>
      <c r="J37" s="86" t="s">
        <v>23</v>
      </c>
      <c r="K37" s="86">
        <v>2</v>
      </c>
      <c r="L37" s="86">
        <v>7</v>
      </c>
      <c r="M37" s="35">
        <v>44483</v>
      </c>
      <c r="N37" s="150">
        <v>0.4375</v>
      </c>
      <c r="O37" s="32" t="b">
        <v>0</v>
      </c>
      <c r="P37" s="86">
        <v>109</v>
      </c>
      <c r="Q37" s="86"/>
      <c r="R37" s="86"/>
      <c r="S37" s="86" t="s">
        <v>278</v>
      </c>
      <c r="T37" s="86" t="str">
        <f t="shared" si="0"/>
        <v>109-110</v>
      </c>
      <c r="U37" s="86" t="s">
        <v>285</v>
      </c>
      <c r="V37" s="86"/>
    </row>
    <row r="38" spans="1:22" x14ac:dyDescent="0.35">
      <c r="A38" s="86">
        <v>5</v>
      </c>
      <c r="B38" s="86">
        <v>2</v>
      </c>
      <c r="C38" s="86" t="s">
        <v>17</v>
      </c>
      <c r="D38" s="86">
        <v>111</v>
      </c>
      <c r="E38" s="86" t="s">
        <v>96</v>
      </c>
      <c r="F38" s="86" t="s">
        <v>19</v>
      </c>
      <c r="G38" s="86" t="s">
        <v>20</v>
      </c>
      <c r="H38" s="86" t="s">
        <v>25</v>
      </c>
      <c r="I38" s="34" t="s">
        <v>22</v>
      </c>
      <c r="J38" s="86" t="s">
        <v>23</v>
      </c>
      <c r="K38" s="86">
        <v>2</v>
      </c>
      <c r="L38" s="86">
        <v>7</v>
      </c>
      <c r="M38" s="35">
        <v>44483</v>
      </c>
      <c r="N38" s="150">
        <v>0.4375</v>
      </c>
      <c r="O38" s="32" t="b">
        <v>0</v>
      </c>
      <c r="P38" s="86">
        <v>111</v>
      </c>
      <c r="Q38" s="86"/>
      <c r="R38" s="86"/>
      <c r="S38" s="86"/>
      <c r="T38" s="86" t="str">
        <f t="shared" si="0"/>
        <v>111-112</v>
      </c>
      <c r="U38" s="86" t="s">
        <v>286</v>
      </c>
      <c r="V38" s="86"/>
    </row>
    <row r="39" spans="1:22" x14ac:dyDescent="0.35">
      <c r="A39" s="86">
        <v>6</v>
      </c>
      <c r="B39" s="86">
        <v>2</v>
      </c>
      <c r="C39" s="86" t="s">
        <v>17</v>
      </c>
      <c r="D39" s="86">
        <v>113</v>
      </c>
      <c r="E39" s="86" t="s">
        <v>97</v>
      </c>
      <c r="F39" s="86" t="s">
        <v>19</v>
      </c>
      <c r="G39" s="86" t="s">
        <v>39</v>
      </c>
      <c r="H39" s="86" t="s">
        <v>25</v>
      </c>
      <c r="I39" s="34"/>
      <c r="J39" s="86" t="s">
        <v>27</v>
      </c>
      <c r="K39" s="86"/>
      <c r="L39" s="86">
        <v>4</v>
      </c>
      <c r="M39" s="35"/>
      <c r="N39" s="150"/>
      <c r="O39" s="32" t="b">
        <v>0</v>
      </c>
      <c r="P39" s="86">
        <v>113</v>
      </c>
      <c r="Q39" s="86"/>
      <c r="R39" s="86" t="s">
        <v>98</v>
      </c>
      <c r="S39" s="86" t="s">
        <v>233</v>
      </c>
      <c r="T39" s="86" t="str">
        <f t="shared" si="0"/>
        <v>113-114</v>
      </c>
      <c r="U39" s="86" t="s">
        <v>287</v>
      </c>
      <c r="V39" s="86"/>
    </row>
    <row r="40" spans="1:22" x14ac:dyDescent="0.35">
      <c r="A40" s="86">
        <v>7</v>
      </c>
      <c r="B40" s="86">
        <v>2</v>
      </c>
      <c r="C40" s="86" t="s">
        <v>17</v>
      </c>
      <c r="D40" s="86">
        <v>115</v>
      </c>
      <c r="E40" s="86" t="s">
        <v>100</v>
      </c>
      <c r="F40" s="86" t="s">
        <v>19</v>
      </c>
      <c r="G40" s="86" t="s">
        <v>39</v>
      </c>
      <c r="H40" s="86" t="s">
        <v>25</v>
      </c>
      <c r="I40" s="34" t="s">
        <v>22</v>
      </c>
      <c r="J40" s="86" t="s">
        <v>23</v>
      </c>
      <c r="K40" s="86">
        <v>2</v>
      </c>
      <c r="L40" s="86">
        <v>8</v>
      </c>
      <c r="M40" s="35">
        <v>44483</v>
      </c>
      <c r="N40" s="150">
        <v>0.4375</v>
      </c>
      <c r="O40" s="32" t="b">
        <v>0</v>
      </c>
      <c r="P40" s="86">
        <v>115</v>
      </c>
      <c r="Q40" s="86"/>
      <c r="R40" s="86"/>
      <c r="S40" s="86"/>
      <c r="T40" s="86" t="str">
        <f t="shared" si="0"/>
        <v>115-116</v>
      </c>
      <c r="U40" s="86" t="s">
        <v>287</v>
      </c>
      <c r="V40" s="86"/>
    </row>
    <row r="41" spans="1:22" x14ac:dyDescent="0.35">
      <c r="A41" s="86">
        <v>9</v>
      </c>
      <c r="B41" s="86">
        <v>2</v>
      </c>
      <c r="C41" s="86" t="s">
        <v>17</v>
      </c>
      <c r="D41" s="86">
        <v>119</v>
      </c>
      <c r="E41" s="86" t="s">
        <v>102</v>
      </c>
      <c r="F41" s="86" t="s">
        <v>19</v>
      </c>
      <c r="G41" s="86" t="s">
        <v>39</v>
      </c>
      <c r="H41" s="86" t="s">
        <v>21</v>
      </c>
      <c r="I41" s="34" t="s">
        <v>22</v>
      </c>
      <c r="J41" s="86" t="s">
        <v>23</v>
      </c>
      <c r="K41" s="86">
        <v>2</v>
      </c>
      <c r="L41" s="86">
        <v>8</v>
      </c>
      <c r="M41" s="35">
        <v>44483</v>
      </c>
      <c r="N41" s="150">
        <v>0.42708333333333331</v>
      </c>
      <c r="O41" s="32" t="b">
        <v>0</v>
      </c>
      <c r="P41" s="86">
        <v>119</v>
      </c>
      <c r="Q41" s="86"/>
      <c r="R41" s="86"/>
      <c r="S41" s="86"/>
      <c r="T41" s="86" t="str">
        <f t="shared" si="0"/>
        <v>119-120</v>
      </c>
      <c r="U41" s="86" t="s">
        <v>288</v>
      </c>
      <c r="V41" s="86"/>
    </row>
    <row r="42" spans="1:22" x14ac:dyDescent="0.35">
      <c r="A42" s="86">
        <v>13</v>
      </c>
      <c r="B42" s="86">
        <v>2</v>
      </c>
      <c r="C42" s="86" t="s">
        <v>17</v>
      </c>
      <c r="D42" s="86">
        <v>127</v>
      </c>
      <c r="E42" s="86" t="s">
        <v>106</v>
      </c>
      <c r="F42" s="86" t="s">
        <v>19</v>
      </c>
      <c r="G42" s="86" t="s">
        <v>20</v>
      </c>
      <c r="H42" s="86" t="s">
        <v>21</v>
      </c>
      <c r="I42" s="34" t="s">
        <v>22</v>
      </c>
      <c r="J42" s="86" t="s">
        <v>23</v>
      </c>
      <c r="K42" s="86">
        <v>2</v>
      </c>
      <c r="L42" s="86">
        <v>8</v>
      </c>
      <c r="M42" s="35">
        <v>44483</v>
      </c>
      <c r="N42" s="150">
        <v>0.42708333333333331</v>
      </c>
      <c r="O42" s="32" t="b">
        <v>0</v>
      </c>
      <c r="P42" s="86">
        <v>127</v>
      </c>
      <c r="Q42" s="86"/>
      <c r="R42" s="86"/>
      <c r="S42" s="86"/>
      <c r="T42" s="86" t="str">
        <f t="shared" si="0"/>
        <v>127-128</v>
      </c>
      <c r="U42" s="86" t="s">
        <v>285</v>
      </c>
      <c r="V42" s="86"/>
    </row>
    <row r="43" spans="1:22" x14ac:dyDescent="0.35">
      <c r="A43" s="86">
        <v>15</v>
      </c>
      <c r="B43" s="86">
        <v>2</v>
      </c>
      <c r="C43" s="86" t="s">
        <v>17</v>
      </c>
      <c r="D43" s="86">
        <v>131</v>
      </c>
      <c r="E43" s="86" t="s">
        <v>108</v>
      </c>
      <c r="F43" s="86" t="s">
        <v>19</v>
      </c>
      <c r="G43" s="86" t="s">
        <v>20</v>
      </c>
      <c r="H43" s="86" t="s">
        <v>25</v>
      </c>
      <c r="I43" s="34" t="s">
        <v>22</v>
      </c>
      <c r="J43" s="86" t="s">
        <v>23</v>
      </c>
      <c r="K43" s="86">
        <v>2</v>
      </c>
      <c r="L43" s="86">
        <v>8</v>
      </c>
      <c r="M43" s="35">
        <v>44483</v>
      </c>
      <c r="N43" s="150">
        <v>0.42708333333333331</v>
      </c>
      <c r="O43" s="32" t="b">
        <v>0</v>
      </c>
      <c r="P43" s="86">
        <v>131</v>
      </c>
      <c r="Q43" s="86"/>
      <c r="R43" s="86"/>
      <c r="S43" s="86"/>
      <c r="T43" s="86" t="str">
        <f t="shared" si="0"/>
        <v>131-132</v>
      </c>
      <c r="U43" s="86" t="s">
        <v>286</v>
      </c>
      <c r="V43" s="86"/>
    </row>
    <row r="44" spans="1:22" x14ac:dyDescent="0.35">
      <c r="A44" s="86">
        <v>17</v>
      </c>
      <c r="B44" s="86">
        <v>2</v>
      </c>
      <c r="C44" s="86" t="s">
        <v>17</v>
      </c>
      <c r="D44" s="86">
        <v>135</v>
      </c>
      <c r="E44" s="86" t="s">
        <v>112</v>
      </c>
      <c r="F44" s="86" t="s">
        <v>19</v>
      </c>
      <c r="G44" s="86" t="s">
        <v>20</v>
      </c>
      <c r="H44" s="86" t="s">
        <v>21</v>
      </c>
      <c r="I44" s="34" t="s">
        <v>22</v>
      </c>
      <c r="J44" s="86" t="s">
        <v>23</v>
      </c>
      <c r="K44" s="86">
        <v>1</v>
      </c>
      <c r="L44" s="86">
        <v>3</v>
      </c>
      <c r="M44" s="35">
        <v>44466</v>
      </c>
      <c r="N44" s="150"/>
      <c r="O44" s="32" t="b">
        <v>0</v>
      </c>
      <c r="P44" s="86">
        <v>135</v>
      </c>
      <c r="Q44" s="86"/>
      <c r="R44" s="86"/>
      <c r="S44" s="86"/>
      <c r="T44" s="86"/>
      <c r="U44" s="86" t="s">
        <v>285</v>
      </c>
      <c r="V44" s="86"/>
    </row>
    <row r="45" spans="1:22" x14ac:dyDescent="0.35">
      <c r="A45" s="86">
        <v>17</v>
      </c>
      <c r="B45" s="86">
        <v>2</v>
      </c>
      <c r="C45" s="86" t="s">
        <v>17</v>
      </c>
      <c r="D45" s="86">
        <v>135</v>
      </c>
      <c r="E45" s="86" t="s">
        <v>112</v>
      </c>
      <c r="F45" s="86" t="s">
        <v>19</v>
      </c>
      <c r="G45" s="86" t="s">
        <v>20</v>
      </c>
      <c r="H45" s="86" t="s">
        <v>21</v>
      </c>
      <c r="I45" s="34" t="s">
        <v>22</v>
      </c>
      <c r="J45" s="86" t="s">
        <v>23</v>
      </c>
      <c r="K45" s="86">
        <v>1</v>
      </c>
      <c r="L45" s="86">
        <v>3</v>
      </c>
      <c r="M45" s="35">
        <v>44466</v>
      </c>
      <c r="N45" s="150"/>
      <c r="O45" s="32" t="b">
        <v>1</v>
      </c>
      <c r="P45" s="86">
        <v>136</v>
      </c>
      <c r="Q45" s="86"/>
      <c r="R45" s="86"/>
      <c r="S45" s="86"/>
      <c r="T45" s="86"/>
      <c r="U45" s="86" t="s">
        <v>285</v>
      </c>
      <c r="V45" s="86"/>
    </row>
    <row r="46" spans="1:22" x14ac:dyDescent="0.35">
      <c r="A46" s="86">
        <v>18</v>
      </c>
      <c r="B46" s="86">
        <v>2</v>
      </c>
      <c r="C46" s="86" t="s">
        <v>17</v>
      </c>
      <c r="D46" s="86">
        <v>137</v>
      </c>
      <c r="E46" s="86" t="s">
        <v>113</v>
      </c>
      <c r="F46" s="86" t="s">
        <v>19</v>
      </c>
      <c r="G46" s="86" t="s">
        <v>20</v>
      </c>
      <c r="H46" s="86" t="s">
        <v>25</v>
      </c>
      <c r="I46" s="34" t="s">
        <v>22</v>
      </c>
      <c r="J46" s="86" t="s">
        <v>23</v>
      </c>
      <c r="K46" s="86">
        <v>2</v>
      </c>
      <c r="L46" s="86">
        <v>3</v>
      </c>
      <c r="M46" s="35">
        <v>44483</v>
      </c>
      <c r="N46" s="150">
        <v>0.42708333333333331</v>
      </c>
      <c r="O46" s="32" t="b">
        <v>0</v>
      </c>
      <c r="P46" s="86">
        <v>137</v>
      </c>
      <c r="Q46" s="86"/>
      <c r="R46" s="86"/>
      <c r="S46" s="86"/>
      <c r="T46" s="86" t="str">
        <f t="shared" ref="T46:T47" si="1">P46&amp;"-"&amp;P46+1</f>
        <v>137-138</v>
      </c>
      <c r="U46" s="86" t="s">
        <v>286</v>
      </c>
      <c r="V46" s="86"/>
    </row>
    <row r="47" spans="1:22" x14ac:dyDescent="0.35">
      <c r="A47" s="86">
        <v>19</v>
      </c>
      <c r="B47" s="86">
        <v>2</v>
      </c>
      <c r="C47" s="86" t="s">
        <v>17</v>
      </c>
      <c r="D47" s="86">
        <v>139</v>
      </c>
      <c r="E47" s="86" t="s">
        <v>114</v>
      </c>
      <c r="F47" s="86" t="s">
        <v>19</v>
      </c>
      <c r="G47" s="86" t="s">
        <v>20</v>
      </c>
      <c r="H47" s="86" t="s">
        <v>21</v>
      </c>
      <c r="I47" s="34" t="s">
        <v>22</v>
      </c>
      <c r="J47" s="86" t="s">
        <v>27</v>
      </c>
      <c r="K47" s="86">
        <v>2</v>
      </c>
      <c r="L47" s="86">
        <v>3</v>
      </c>
      <c r="M47" s="35">
        <v>44483</v>
      </c>
      <c r="N47" s="150">
        <v>0.42708333333333331</v>
      </c>
      <c r="O47" s="32" t="b">
        <v>0</v>
      </c>
      <c r="P47" s="86">
        <v>139</v>
      </c>
      <c r="Q47" s="86"/>
      <c r="R47" s="86"/>
      <c r="S47" s="86"/>
      <c r="T47" s="86" t="str">
        <f t="shared" si="1"/>
        <v>139-140</v>
      </c>
      <c r="U47" s="86" t="s">
        <v>285</v>
      </c>
      <c r="V47" s="86"/>
    </row>
    <row r="48" spans="1:22" x14ac:dyDescent="0.35">
      <c r="A48" s="86">
        <v>20</v>
      </c>
      <c r="B48" s="86">
        <v>2</v>
      </c>
      <c r="C48" s="86" t="s">
        <v>17</v>
      </c>
      <c r="D48" s="86">
        <v>141</v>
      </c>
      <c r="E48" s="86" t="s">
        <v>115</v>
      </c>
      <c r="F48" s="86" t="s">
        <v>19</v>
      </c>
      <c r="G48" s="86" t="s">
        <v>20</v>
      </c>
      <c r="H48" s="86" t="s">
        <v>25</v>
      </c>
      <c r="I48" s="34" t="s">
        <v>22</v>
      </c>
      <c r="J48" s="86" t="s">
        <v>23</v>
      </c>
      <c r="K48" s="86">
        <v>1</v>
      </c>
      <c r="L48" s="86">
        <v>3</v>
      </c>
      <c r="M48" s="35">
        <v>44466</v>
      </c>
      <c r="N48" s="150"/>
      <c r="O48" s="32" t="b">
        <v>0</v>
      </c>
      <c r="P48" s="86">
        <v>141</v>
      </c>
      <c r="Q48" s="86"/>
      <c r="R48" s="86"/>
      <c r="S48" s="86"/>
      <c r="T48" s="86"/>
      <c r="U48" s="86" t="s">
        <v>286</v>
      </c>
      <c r="V48" s="86"/>
    </row>
    <row r="49" spans="1:22" x14ac:dyDescent="0.35">
      <c r="A49" s="86">
        <v>20</v>
      </c>
      <c r="B49" s="86">
        <v>2</v>
      </c>
      <c r="C49" s="86" t="s">
        <v>17</v>
      </c>
      <c r="D49" s="86">
        <v>141</v>
      </c>
      <c r="E49" s="86" t="s">
        <v>115</v>
      </c>
      <c r="F49" s="86" t="s">
        <v>19</v>
      </c>
      <c r="G49" s="86" t="s">
        <v>20</v>
      </c>
      <c r="H49" s="86" t="s">
        <v>25</v>
      </c>
      <c r="I49" s="34" t="s">
        <v>22</v>
      </c>
      <c r="J49" s="86" t="s">
        <v>23</v>
      </c>
      <c r="K49" s="86">
        <v>1</v>
      </c>
      <c r="L49" s="86">
        <v>3</v>
      </c>
      <c r="M49" s="35">
        <v>44466</v>
      </c>
      <c r="N49" s="150"/>
      <c r="O49" s="32" t="b">
        <v>1</v>
      </c>
      <c r="P49" s="86">
        <v>142</v>
      </c>
      <c r="Q49" s="86"/>
      <c r="R49" s="86"/>
      <c r="S49" s="86"/>
      <c r="T49" s="86"/>
      <c r="U49" s="86" t="s">
        <v>286</v>
      </c>
      <c r="V49" s="86"/>
    </row>
    <row r="50" spans="1:22" x14ac:dyDescent="0.35">
      <c r="A50" s="86">
        <v>1</v>
      </c>
      <c r="B50" s="86">
        <v>5</v>
      </c>
      <c r="C50" s="86" t="s">
        <v>117</v>
      </c>
      <c r="D50" s="86">
        <v>1001</v>
      </c>
      <c r="E50" s="86" t="s">
        <v>118</v>
      </c>
      <c r="F50" s="86" t="s">
        <v>19</v>
      </c>
      <c r="G50" s="86" t="s">
        <v>20</v>
      </c>
      <c r="H50" s="86" t="s">
        <v>21</v>
      </c>
      <c r="I50" s="34" t="s">
        <v>22</v>
      </c>
      <c r="J50" s="86" t="s">
        <v>23</v>
      </c>
      <c r="K50" s="86">
        <v>1</v>
      </c>
      <c r="L50" s="86">
        <v>1</v>
      </c>
      <c r="M50" s="35">
        <v>44466</v>
      </c>
      <c r="N50" s="150"/>
      <c r="O50" s="32" t="b">
        <v>0</v>
      </c>
      <c r="P50" s="86">
        <v>1001</v>
      </c>
      <c r="Q50" s="86"/>
      <c r="R50" s="86"/>
      <c r="S50" s="86" t="s">
        <v>119</v>
      </c>
      <c r="T50" s="86"/>
      <c r="U50" s="86" t="s">
        <v>285</v>
      </c>
      <c r="V50" s="86"/>
    </row>
    <row r="51" spans="1:22" x14ac:dyDescent="0.35">
      <c r="A51" s="86">
        <v>1</v>
      </c>
      <c r="B51" s="86">
        <v>5</v>
      </c>
      <c r="C51" s="86" t="s">
        <v>117</v>
      </c>
      <c r="D51" s="86">
        <v>1001</v>
      </c>
      <c r="E51" s="86" t="s">
        <v>118</v>
      </c>
      <c r="F51" s="86" t="s">
        <v>19</v>
      </c>
      <c r="G51" s="86" t="s">
        <v>20</v>
      </c>
      <c r="H51" s="86" t="s">
        <v>21</v>
      </c>
      <c r="I51" s="34" t="s">
        <v>22</v>
      </c>
      <c r="J51" s="86" t="s">
        <v>23</v>
      </c>
      <c r="K51" s="86">
        <v>1</v>
      </c>
      <c r="L51" s="86">
        <v>1</v>
      </c>
      <c r="M51" s="35">
        <v>44466</v>
      </c>
      <c r="N51" s="150"/>
      <c r="O51" s="32" t="b">
        <v>1</v>
      </c>
      <c r="P51" s="86">
        <v>1002</v>
      </c>
      <c r="Q51" s="86"/>
      <c r="R51" s="86"/>
      <c r="S51" s="86" t="s">
        <v>119</v>
      </c>
      <c r="T51" s="86"/>
      <c r="U51" s="86" t="s">
        <v>285</v>
      </c>
      <c r="V51" s="86"/>
    </row>
    <row r="52" spans="1:22" x14ac:dyDescent="0.35">
      <c r="A52" s="86">
        <v>4</v>
      </c>
      <c r="B52" s="86">
        <v>5</v>
      </c>
      <c r="C52" s="86" t="s">
        <v>117</v>
      </c>
      <c r="D52" s="86">
        <v>1007</v>
      </c>
      <c r="E52" s="86" t="s">
        <v>125</v>
      </c>
      <c r="F52" s="86" t="s">
        <v>19</v>
      </c>
      <c r="G52" s="86" t="s">
        <v>20</v>
      </c>
      <c r="H52" s="86" t="s">
        <v>25</v>
      </c>
      <c r="I52" s="34" t="s">
        <v>22</v>
      </c>
      <c r="J52" s="86" t="s">
        <v>23</v>
      </c>
      <c r="K52" s="86">
        <v>1</v>
      </c>
      <c r="L52" s="86">
        <v>1</v>
      </c>
      <c r="M52" s="35">
        <v>44466</v>
      </c>
      <c r="N52" s="150"/>
      <c r="O52" s="32" t="b">
        <v>0</v>
      </c>
      <c r="P52" s="86">
        <v>1007</v>
      </c>
      <c r="Q52" s="86"/>
      <c r="R52" s="86"/>
      <c r="S52" s="86"/>
      <c r="T52" s="86"/>
      <c r="U52" s="86" t="s">
        <v>286</v>
      </c>
      <c r="V52" s="86"/>
    </row>
    <row r="53" spans="1:22" x14ac:dyDescent="0.35">
      <c r="A53" s="86">
        <v>4</v>
      </c>
      <c r="B53" s="86">
        <v>5</v>
      </c>
      <c r="C53" s="86" t="s">
        <v>117</v>
      </c>
      <c r="D53" s="86">
        <v>1007</v>
      </c>
      <c r="E53" s="86" t="s">
        <v>125</v>
      </c>
      <c r="F53" s="86" t="s">
        <v>19</v>
      </c>
      <c r="G53" s="86" t="s">
        <v>20</v>
      </c>
      <c r="H53" s="86" t="s">
        <v>25</v>
      </c>
      <c r="I53" s="34" t="s">
        <v>22</v>
      </c>
      <c r="J53" s="86" t="s">
        <v>23</v>
      </c>
      <c r="K53" s="86">
        <v>1</v>
      </c>
      <c r="L53" s="86">
        <v>1</v>
      </c>
      <c r="M53" s="35">
        <v>44466</v>
      </c>
      <c r="N53" s="150"/>
      <c r="O53" s="32" t="b">
        <v>1</v>
      </c>
      <c r="P53" s="86">
        <v>1008</v>
      </c>
      <c r="Q53" s="86"/>
      <c r="R53" s="86"/>
      <c r="S53" s="86"/>
      <c r="T53" s="86"/>
      <c r="U53" s="86" t="s">
        <v>286</v>
      </c>
      <c r="V53" s="86"/>
    </row>
    <row r="54" spans="1:22" x14ac:dyDescent="0.35">
      <c r="A54" s="86">
        <v>6</v>
      </c>
      <c r="B54" s="86">
        <v>5</v>
      </c>
      <c r="C54" s="86" t="s">
        <v>117</v>
      </c>
      <c r="D54" s="86">
        <v>1011</v>
      </c>
      <c r="E54" s="86" t="s">
        <v>127</v>
      </c>
      <c r="F54" s="86" t="s">
        <v>19</v>
      </c>
      <c r="G54" s="86" t="s">
        <v>20</v>
      </c>
      <c r="H54" s="86" t="s">
        <v>25</v>
      </c>
      <c r="I54" s="34" t="s">
        <v>22</v>
      </c>
      <c r="J54" s="86" t="s">
        <v>23</v>
      </c>
      <c r="K54" s="86">
        <v>1</v>
      </c>
      <c r="L54" s="86">
        <v>2</v>
      </c>
      <c r="M54" s="35">
        <v>44466</v>
      </c>
      <c r="N54" s="150"/>
      <c r="O54" s="32" t="b">
        <v>0</v>
      </c>
      <c r="P54" s="86">
        <v>1011</v>
      </c>
      <c r="Q54" s="86"/>
      <c r="R54" s="86"/>
      <c r="S54" s="86"/>
      <c r="T54" s="86"/>
      <c r="U54" s="86" t="s">
        <v>286</v>
      </c>
      <c r="V54" s="86"/>
    </row>
    <row r="55" spans="1:22" x14ac:dyDescent="0.35">
      <c r="A55" s="86">
        <v>6</v>
      </c>
      <c r="B55" s="86">
        <v>5</v>
      </c>
      <c r="C55" s="86" t="s">
        <v>117</v>
      </c>
      <c r="D55" s="86">
        <v>1011</v>
      </c>
      <c r="E55" s="86" t="s">
        <v>127</v>
      </c>
      <c r="F55" s="86" t="s">
        <v>19</v>
      </c>
      <c r="G55" s="86" t="s">
        <v>20</v>
      </c>
      <c r="H55" s="86" t="s">
        <v>25</v>
      </c>
      <c r="I55" s="34" t="s">
        <v>22</v>
      </c>
      <c r="J55" s="86" t="s">
        <v>23</v>
      </c>
      <c r="K55" s="86">
        <v>1</v>
      </c>
      <c r="L55" s="86">
        <v>2</v>
      </c>
      <c r="M55" s="35">
        <v>44466</v>
      </c>
      <c r="N55" s="150"/>
      <c r="O55" s="32" t="b">
        <v>1</v>
      </c>
      <c r="P55" s="86">
        <v>1012</v>
      </c>
      <c r="Q55" s="86"/>
      <c r="R55" s="86"/>
      <c r="S55" s="86"/>
      <c r="T55" s="86"/>
      <c r="U55" s="86" t="s">
        <v>286</v>
      </c>
      <c r="V55" s="86"/>
    </row>
    <row r="56" spans="1:22" x14ac:dyDescent="0.35">
      <c r="A56" s="86">
        <v>7</v>
      </c>
      <c r="B56" s="86">
        <v>5</v>
      </c>
      <c r="C56" s="86" t="s">
        <v>117</v>
      </c>
      <c r="D56" s="86">
        <v>1013</v>
      </c>
      <c r="E56" s="86" t="s">
        <v>128</v>
      </c>
      <c r="F56" s="86" t="s">
        <v>19</v>
      </c>
      <c r="G56" s="86" t="s">
        <v>20</v>
      </c>
      <c r="H56" s="86" t="s">
        <v>21</v>
      </c>
      <c r="I56" s="34" t="s">
        <v>22</v>
      </c>
      <c r="J56" s="86" t="s">
        <v>23</v>
      </c>
      <c r="K56" s="86">
        <v>1</v>
      </c>
      <c r="L56" s="86">
        <v>2</v>
      </c>
      <c r="M56" s="35">
        <v>44466</v>
      </c>
      <c r="N56" s="150"/>
      <c r="O56" s="32" t="b">
        <v>0</v>
      </c>
      <c r="P56" s="86">
        <v>1013</v>
      </c>
      <c r="Q56" s="86"/>
      <c r="R56" s="86"/>
      <c r="S56" s="86"/>
      <c r="T56" s="86"/>
      <c r="U56" s="86" t="s">
        <v>285</v>
      </c>
      <c r="V56" s="86"/>
    </row>
    <row r="57" spans="1:22" x14ac:dyDescent="0.35">
      <c r="A57" s="86">
        <v>7</v>
      </c>
      <c r="B57" s="86">
        <v>5</v>
      </c>
      <c r="C57" s="86" t="s">
        <v>117</v>
      </c>
      <c r="D57" s="86">
        <v>1013</v>
      </c>
      <c r="E57" s="86" t="s">
        <v>128</v>
      </c>
      <c r="F57" s="86" t="s">
        <v>19</v>
      </c>
      <c r="G57" s="86" t="s">
        <v>20</v>
      </c>
      <c r="H57" s="86" t="s">
        <v>21</v>
      </c>
      <c r="I57" s="34" t="s">
        <v>22</v>
      </c>
      <c r="J57" s="86" t="s">
        <v>23</v>
      </c>
      <c r="K57" s="86">
        <v>1</v>
      </c>
      <c r="L57" s="86">
        <v>2</v>
      </c>
      <c r="M57" s="35">
        <v>44466</v>
      </c>
      <c r="N57" s="150"/>
      <c r="O57" s="32" t="b">
        <v>1</v>
      </c>
      <c r="P57" s="86">
        <v>1014</v>
      </c>
      <c r="Q57" s="86"/>
      <c r="R57" s="86"/>
      <c r="S57" s="86"/>
      <c r="T57" s="86"/>
      <c r="U57" s="86" t="s">
        <v>285</v>
      </c>
      <c r="V57" s="86"/>
    </row>
    <row r="58" spans="1:22" x14ac:dyDescent="0.35">
      <c r="A58" s="86">
        <v>1</v>
      </c>
      <c r="B58" s="86">
        <v>4</v>
      </c>
      <c r="C58" s="86" t="s">
        <v>117</v>
      </c>
      <c r="D58" s="86">
        <v>1017</v>
      </c>
      <c r="E58" s="86" t="s">
        <v>130</v>
      </c>
      <c r="F58" s="86" t="s">
        <v>121</v>
      </c>
      <c r="G58" s="86" t="s">
        <v>20</v>
      </c>
      <c r="H58" s="86" t="s">
        <v>21</v>
      </c>
      <c r="I58" s="34" t="s">
        <v>22</v>
      </c>
      <c r="J58" s="86" t="s">
        <v>23</v>
      </c>
      <c r="K58" s="86">
        <v>2</v>
      </c>
      <c r="L58" s="86">
        <v>1</v>
      </c>
      <c r="M58" s="35">
        <v>44481</v>
      </c>
      <c r="N58" s="150">
        <v>0.38541666666666669</v>
      </c>
      <c r="O58" s="32" t="b">
        <v>0</v>
      </c>
      <c r="P58" s="86">
        <v>1017</v>
      </c>
      <c r="Q58" s="86"/>
      <c r="R58" s="86"/>
      <c r="S58" s="86"/>
      <c r="T58" s="86" t="str">
        <f t="shared" ref="T58:T89" si="2">P58&amp;"-"&amp;P58+1</f>
        <v>1017-1018</v>
      </c>
      <c r="U58" s="86" t="s">
        <v>289</v>
      </c>
      <c r="V58" s="86"/>
    </row>
    <row r="59" spans="1:22" x14ac:dyDescent="0.35">
      <c r="A59" s="86">
        <v>2</v>
      </c>
      <c r="B59" s="86">
        <v>4</v>
      </c>
      <c r="C59" s="86" t="s">
        <v>117</v>
      </c>
      <c r="D59" s="86">
        <v>1019</v>
      </c>
      <c r="E59" s="86" t="s">
        <v>131</v>
      </c>
      <c r="F59" s="86" t="s">
        <v>121</v>
      </c>
      <c r="G59" s="86" t="s">
        <v>20</v>
      </c>
      <c r="H59" s="86" t="s">
        <v>25</v>
      </c>
      <c r="I59" s="34" t="s">
        <v>22</v>
      </c>
      <c r="J59" s="86" t="s">
        <v>23</v>
      </c>
      <c r="K59" s="86">
        <v>2</v>
      </c>
      <c r="L59" s="86">
        <v>1</v>
      </c>
      <c r="M59" s="35">
        <v>44481</v>
      </c>
      <c r="N59" s="150">
        <v>0.38541666666666669</v>
      </c>
      <c r="O59" s="32" t="b">
        <v>0</v>
      </c>
      <c r="P59" s="86">
        <v>1019</v>
      </c>
      <c r="Q59" s="86"/>
      <c r="R59" s="86"/>
      <c r="S59" s="86"/>
      <c r="T59" s="86" t="str">
        <f t="shared" si="2"/>
        <v>1019-1020</v>
      </c>
      <c r="U59" s="86" t="s">
        <v>290</v>
      </c>
      <c r="V59" s="86"/>
    </row>
    <row r="60" spans="1:22" x14ac:dyDescent="0.35">
      <c r="A60" s="86">
        <v>4</v>
      </c>
      <c r="B60" s="86">
        <v>4</v>
      </c>
      <c r="C60" s="86" t="s">
        <v>117</v>
      </c>
      <c r="D60" s="86">
        <v>1023</v>
      </c>
      <c r="E60" s="86" t="s">
        <v>133</v>
      </c>
      <c r="F60" s="86" t="s">
        <v>121</v>
      </c>
      <c r="G60" s="86" t="s">
        <v>39</v>
      </c>
      <c r="H60" s="86" t="s">
        <v>25</v>
      </c>
      <c r="I60" s="34" t="s">
        <v>22</v>
      </c>
      <c r="J60" s="86" t="s">
        <v>23</v>
      </c>
      <c r="K60" s="86">
        <v>2</v>
      </c>
      <c r="L60" s="86">
        <v>1</v>
      </c>
      <c r="M60" s="35">
        <v>44481</v>
      </c>
      <c r="N60" s="150">
        <v>0.38541666666666669</v>
      </c>
      <c r="O60" s="32" t="b">
        <v>0</v>
      </c>
      <c r="P60" s="86">
        <v>1023</v>
      </c>
      <c r="Q60" s="86"/>
      <c r="R60" s="86"/>
      <c r="S60" s="86"/>
      <c r="T60" s="86" t="str">
        <f t="shared" si="2"/>
        <v>1023-1024</v>
      </c>
      <c r="U60" s="86" t="s">
        <v>291</v>
      </c>
      <c r="V60" s="86"/>
    </row>
    <row r="61" spans="1:22" x14ac:dyDescent="0.35">
      <c r="A61" s="86">
        <v>5</v>
      </c>
      <c r="B61" s="86">
        <v>4</v>
      </c>
      <c r="C61" s="86" t="s">
        <v>117</v>
      </c>
      <c r="D61" s="86">
        <v>1025</v>
      </c>
      <c r="E61" s="86" t="s">
        <v>134</v>
      </c>
      <c r="F61" s="86" t="s">
        <v>121</v>
      </c>
      <c r="G61" s="86" t="s">
        <v>39</v>
      </c>
      <c r="H61" s="86" t="s">
        <v>21</v>
      </c>
      <c r="I61" s="34" t="s">
        <v>22</v>
      </c>
      <c r="J61" s="86" t="s">
        <v>23</v>
      </c>
      <c r="K61" s="86">
        <v>2</v>
      </c>
      <c r="L61" s="86">
        <v>1</v>
      </c>
      <c r="M61" s="35">
        <v>44481</v>
      </c>
      <c r="N61" s="150">
        <v>0.38541666666666669</v>
      </c>
      <c r="O61" s="32" t="b">
        <v>0</v>
      </c>
      <c r="P61" s="86">
        <v>1025</v>
      </c>
      <c r="Q61" s="86"/>
      <c r="R61" s="86"/>
      <c r="S61" s="86"/>
      <c r="T61" s="86" t="str">
        <f t="shared" si="2"/>
        <v>1025-1026</v>
      </c>
      <c r="U61" s="86" t="s">
        <v>292</v>
      </c>
      <c r="V61" s="86"/>
    </row>
    <row r="62" spans="1:22" x14ac:dyDescent="0.35">
      <c r="A62" s="86">
        <v>6</v>
      </c>
      <c r="B62" s="86">
        <v>4</v>
      </c>
      <c r="C62" s="86" t="s">
        <v>117</v>
      </c>
      <c r="D62" s="86">
        <v>1027</v>
      </c>
      <c r="E62" s="86" t="s">
        <v>135</v>
      </c>
      <c r="F62" s="86" t="s">
        <v>121</v>
      </c>
      <c r="G62" s="86" t="s">
        <v>20</v>
      </c>
      <c r="H62" s="86" t="s">
        <v>21</v>
      </c>
      <c r="I62" s="34" t="s">
        <v>22</v>
      </c>
      <c r="J62" s="86" t="s">
        <v>23</v>
      </c>
      <c r="K62" s="86">
        <v>2</v>
      </c>
      <c r="L62" s="86">
        <v>2</v>
      </c>
      <c r="M62" s="35">
        <v>44481</v>
      </c>
      <c r="N62" s="150">
        <v>0.38541666666666669</v>
      </c>
      <c r="O62" s="32" t="b">
        <v>0</v>
      </c>
      <c r="P62" s="86">
        <v>1027</v>
      </c>
      <c r="Q62" s="86"/>
      <c r="R62" s="86"/>
      <c r="S62" s="86"/>
      <c r="T62" s="86" t="str">
        <f t="shared" si="2"/>
        <v>1027-1028</v>
      </c>
      <c r="U62" s="86" t="s">
        <v>289</v>
      </c>
      <c r="V62" s="86"/>
    </row>
    <row r="63" spans="1:22" x14ac:dyDescent="0.35">
      <c r="A63" s="86">
        <v>7</v>
      </c>
      <c r="B63" s="86">
        <v>4</v>
      </c>
      <c r="C63" s="86" t="s">
        <v>117</v>
      </c>
      <c r="D63" s="86">
        <v>1029</v>
      </c>
      <c r="E63" s="86" t="s">
        <v>136</v>
      </c>
      <c r="F63" s="86" t="s">
        <v>121</v>
      </c>
      <c r="G63" s="86" t="s">
        <v>20</v>
      </c>
      <c r="H63" s="86" t="s">
        <v>25</v>
      </c>
      <c r="I63" s="34" t="s">
        <v>22</v>
      </c>
      <c r="J63" s="86" t="s">
        <v>23</v>
      </c>
      <c r="K63" s="86">
        <v>2</v>
      </c>
      <c r="L63" s="86">
        <v>2</v>
      </c>
      <c r="M63" s="35">
        <v>44481</v>
      </c>
      <c r="N63" s="150">
        <v>0.38541666666666669</v>
      </c>
      <c r="O63" s="32" t="b">
        <v>0</v>
      </c>
      <c r="P63" s="86">
        <v>1029</v>
      </c>
      <c r="Q63" s="86"/>
      <c r="R63" s="86"/>
      <c r="S63" s="86"/>
      <c r="T63" s="86" t="str">
        <f t="shared" si="2"/>
        <v>1029-1030</v>
      </c>
      <c r="U63" s="86" t="s">
        <v>290</v>
      </c>
      <c r="V63" s="86"/>
    </row>
    <row r="64" spans="1:22" x14ac:dyDescent="0.35">
      <c r="A64" s="86">
        <v>9</v>
      </c>
      <c r="B64" s="86">
        <v>4</v>
      </c>
      <c r="C64" s="86" t="s">
        <v>117</v>
      </c>
      <c r="D64" s="86">
        <v>1033</v>
      </c>
      <c r="E64" s="86" t="s">
        <v>138</v>
      </c>
      <c r="F64" s="86" t="s">
        <v>121</v>
      </c>
      <c r="G64" s="86" t="s">
        <v>39</v>
      </c>
      <c r="H64" s="86" t="s">
        <v>25</v>
      </c>
      <c r="I64" s="34" t="s">
        <v>22</v>
      </c>
      <c r="J64" s="86" t="s">
        <v>23</v>
      </c>
      <c r="K64" s="86">
        <v>2</v>
      </c>
      <c r="L64" s="86">
        <v>2</v>
      </c>
      <c r="M64" s="35">
        <v>44481</v>
      </c>
      <c r="N64" s="150">
        <v>0.50694444444444442</v>
      </c>
      <c r="O64" s="32" t="b">
        <v>0</v>
      </c>
      <c r="P64" s="86">
        <v>1033</v>
      </c>
      <c r="Q64" s="86"/>
      <c r="R64" s="86"/>
      <c r="S64" s="86"/>
      <c r="T64" s="86" t="str">
        <f t="shared" si="2"/>
        <v>1033-1034</v>
      </c>
      <c r="U64" s="86" t="s">
        <v>291</v>
      </c>
      <c r="V64" s="86"/>
    </row>
    <row r="65" spans="1:22" x14ac:dyDescent="0.35">
      <c r="A65" s="86">
        <v>11</v>
      </c>
      <c r="B65" s="86">
        <v>4</v>
      </c>
      <c r="C65" s="86" t="s">
        <v>117</v>
      </c>
      <c r="D65" s="86">
        <v>1037</v>
      </c>
      <c r="E65" s="86" t="s">
        <v>142</v>
      </c>
      <c r="F65" s="86" t="s">
        <v>121</v>
      </c>
      <c r="G65" s="86" t="s">
        <v>39</v>
      </c>
      <c r="H65" s="86" t="s">
        <v>21</v>
      </c>
      <c r="I65" s="34" t="s">
        <v>22</v>
      </c>
      <c r="J65" s="86" t="s">
        <v>23</v>
      </c>
      <c r="K65" s="86">
        <v>2</v>
      </c>
      <c r="L65" s="86">
        <v>2</v>
      </c>
      <c r="M65" s="35">
        <v>44481</v>
      </c>
      <c r="N65" s="150">
        <v>0.50694444444444442</v>
      </c>
      <c r="O65" s="32" t="b">
        <v>0</v>
      </c>
      <c r="P65" s="86">
        <v>1037</v>
      </c>
      <c r="Q65" s="86"/>
      <c r="R65" s="86"/>
      <c r="S65" s="86"/>
      <c r="T65" s="86" t="str">
        <f t="shared" si="2"/>
        <v>1037-1038</v>
      </c>
      <c r="U65" s="86" t="s">
        <v>292</v>
      </c>
      <c r="V65" s="86"/>
    </row>
    <row r="66" spans="1:22" x14ac:dyDescent="0.35">
      <c r="A66" s="86">
        <v>11</v>
      </c>
      <c r="B66" s="86">
        <v>4</v>
      </c>
      <c r="C66" s="86" t="s">
        <v>117</v>
      </c>
      <c r="D66" s="86">
        <v>1037</v>
      </c>
      <c r="E66" s="86" t="s">
        <v>142</v>
      </c>
      <c r="F66" s="86" t="s">
        <v>121</v>
      </c>
      <c r="G66" s="86" t="s">
        <v>39</v>
      </c>
      <c r="H66" s="86" t="s">
        <v>21</v>
      </c>
      <c r="I66" s="34"/>
      <c r="J66" s="86" t="s">
        <v>23</v>
      </c>
      <c r="K66" s="86"/>
      <c r="L66" s="86">
        <v>2</v>
      </c>
      <c r="M66" s="35"/>
      <c r="N66" s="150">
        <v>0.50694444444444442</v>
      </c>
      <c r="O66" s="32" t="b">
        <v>1</v>
      </c>
      <c r="P66" s="86">
        <v>1038</v>
      </c>
      <c r="Q66" s="86"/>
      <c r="R66" s="86"/>
      <c r="S66" s="86" t="s">
        <v>223</v>
      </c>
      <c r="T66" s="86" t="str">
        <f t="shared" si="2"/>
        <v>1038-1039</v>
      </c>
      <c r="U66" s="86" t="s">
        <v>292</v>
      </c>
      <c r="V66" s="86"/>
    </row>
    <row r="67" spans="1:22" x14ac:dyDescent="0.35">
      <c r="A67" s="86">
        <v>12</v>
      </c>
      <c r="B67" s="86">
        <v>4</v>
      </c>
      <c r="C67" s="86" t="s">
        <v>117</v>
      </c>
      <c r="D67" s="86">
        <v>1039</v>
      </c>
      <c r="E67" s="86" t="s">
        <v>143</v>
      </c>
      <c r="F67" s="86" t="s">
        <v>121</v>
      </c>
      <c r="G67" s="86" t="s">
        <v>20</v>
      </c>
      <c r="H67" s="86" t="s">
        <v>21</v>
      </c>
      <c r="I67" s="34" t="s">
        <v>22</v>
      </c>
      <c r="J67" s="86" t="s">
        <v>23</v>
      </c>
      <c r="K67" s="86">
        <v>2</v>
      </c>
      <c r="L67" s="86">
        <v>3</v>
      </c>
      <c r="M67" s="35">
        <v>44481</v>
      </c>
      <c r="N67" s="150">
        <v>0.50694444444444442</v>
      </c>
      <c r="O67" s="32" t="b">
        <v>0</v>
      </c>
      <c r="P67" s="86">
        <v>1039</v>
      </c>
      <c r="Q67" s="86"/>
      <c r="R67" s="86"/>
      <c r="S67" s="86"/>
      <c r="T67" s="86" t="str">
        <f t="shared" si="2"/>
        <v>1039-1040</v>
      </c>
      <c r="U67" s="86" t="s">
        <v>289</v>
      </c>
      <c r="V67" s="86"/>
    </row>
    <row r="68" spans="1:22" x14ac:dyDescent="0.35">
      <c r="A68" s="86">
        <v>14</v>
      </c>
      <c r="B68" s="86">
        <v>4</v>
      </c>
      <c r="C68" s="86" t="s">
        <v>117</v>
      </c>
      <c r="D68" s="86">
        <v>1043</v>
      </c>
      <c r="E68" s="86" t="s">
        <v>147</v>
      </c>
      <c r="F68" s="86" t="s">
        <v>121</v>
      </c>
      <c r="G68" s="86" t="s">
        <v>20</v>
      </c>
      <c r="H68" s="86" t="s">
        <v>25</v>
      </c>
      <c r="I68" s="34" t="s">
        <v>22</v>
      </c>
      <c r="J68" s="86" t="s">
        <v>23</v>
      </c>
      <c r="K68" s="86">
        <v>2</v>
      </c>
      <c r="L68" s="86">
        <v>3</v>
      </c>
      <c r="M68" s="35">
        <v>44481</v>
      </c>
      <c r="N68" s="150">
        <v>0.50694444444444442</v>
      </c>
      <c r="O68" s="32" t="b">
        <v>0</v>
      </c>
      <c r="P68" s="86">
        <v>1043</v>
      </c>
      <c r="Q68" s="86"/>
      <c r="R68" s="86"/>
      <c r="S68" s="86"/>
      <c r="T68" s="86" t="str">
        <f t="shared" si="2"/>
        <v>1043-1044</v>
      </c>
      <c r="U68" s="86" t="s">
        <v>290</v>
      </c>
      <c r="V68" s="86"/>
    </row>
    <row r="69" spans="1:22" x14ac:dyDescent="0.35">
      <c r="A69" s="86">
        <v>16</v>
      </c>
      <c r="B69" s="86">
        <v>4</v>
      </c>
      <c r="C69" s="86" t="s">
        <v>117</v>
      </c>
      <c r="D69" s="86">
        <v>1047</v>
      </c>
      <c r="E69" s="86" t="s">
        <v>149</v>
      </c>
      <c r="F69" s="86" t="s">
        <v>121</v>
      </c>
      <c r="G69" s="86" t="s">
        <v>39</v>
      </c>
      <c r="H69" s="86" t="s">
        <v>25</v>
      </c>
      <c r="I69" s="34" t="s">
        <v>22</v>
      </c>
      <c r="J69" s="86" t="s">
        <v>23</v>
      </c>
      <c r="K69" s="86">
        <v>2</v>
      </c>
      <c r="L69" s="86">
        <v>3</v>
      </c>
      <c r="M69" s="35">
        <v>44481</v>
      </c>
      <c r="N69" s="150">
        <v>0.50694444444444442</v>
      </c>
      <c r="O69" s="32" t="b">
        <v>0</v>
      </c>
      <c r="P69" s="86">
        <v>1047</v>
      </c>
      <c r="Q69" s="86"/>
      <c r="R69" s="86"/>
      <c r="S69" s="86"/>
      <c r="T69" s="86" t="str">
        <f t="shared" si="2"/>
        <v>1047-1048</v>
      </c>
      <c r="U69" s="86" t="s">
        <v>291</v>
      </c>
      <c r="V69" s="86"/>
    </row>
    <row r="70" spans="1:22" x14ac:dyDescent="0.35">
      <c r="A70" s="86">
        <v>20</v>
      </c>
      <c r="B70" s="86">
        <v>4</v>
      </c>
      <c r="C70" s="86" t="s">
        <v>117</v>
      </c>
      <c r="D70" s="86">
        <v>1055</v>
      </c>
      <c r="E70" s="86" t="s">
        <v>153</v>
      </c>
      <c r="F70" s="86" t="s">
        <v>121</v>
      </c>
      <c r="G70" s="86" t="s">
        <v>20</v>
      </c>
      <c r="H70" s="86" t="s">
        <v>25</v>
      </c>
      <c r="I70" s="34" t="s">
        <v>22</v>
      </c>
      <c r="J70" s="86" t="s">
        <v>23</v>
      </c>
      <c r="K70" s="86">
        <v>2</v>
      </c>
      <c r="L70" s="86"/>
      <c r="M70" s="35">
        <v>44482</v>
      </c>
      <c r="N70" s="150">
        <v>0.34375</v>
      </c>
      <c r="O70" s="32" t="b">
        <v>0</v>
      </c>
      <c r="P70" s="86">
        <v>1055</v>
      </c>
      <c r="Q70" s="86"/>
      <c r="R70" s="86"/>
      <c r="S70" s="86"/>
      <c r="T70" s="86" t="str">
        <f t="shared" si="2"/>
        <v>1055-1056</v>
      </c>
      <c r="U70" s="86" t="s">
        <v>290</v>
      </c>
      <c r="V70" s="86"/>
    </row>
    <row r="71" spans="1:22" x14ac:dyDescent="0.35">
      <c r="A71" s="86">
        <v>1</v>
      </c>
      <c r="B71" s="86">
        <v>3</v>
      </c>
      <c r="C71" s="86" t="s">
        <v>117</v>
      </c>
      <c r="D71" s="86">
        <v>1061</v>
      </c>
      <c r="E71" s="86" t="s">
        <v>156</v>
      </c>
      <c r="F71" s="86" t="s">
        <v>121</v>
      </c>
      <c r="G71" s="86" t="s">
        <v>39</v>
      </c>
      <c r="H71" s="86" t="s">
        <v>21</v>
      </c>
      <c r="I71" s="34" t="s">
        <v>22</v>
      </c>
      <c r="J71" s="86" t="s">
        <v>23</v>
      </c>
      <c r="K71" s="86">
        <v>2</v>
      </c>
      <c r="L71" s="86">
        <v>4</v>
      </c>
      <c r="M71" s="35">
        <v>44483</v>
      </c>
      <c r="N71" s="150">
        <v>0.39583333333333331</v>
      </c>
      <c r="O71" s="32" t="b">
        <v>0</v>
      </c>
      <c r="P71" s="86">
        <v>1061</v>
      </c>
      <c r="Q71" s="86"/>
      <c r="R71" s="86"/>
      <c r="S71" s="86"/>
      <c r="T71" s="86" t="str">
        <f t="shared" si="2"/>
        <v>1061-1062</v>
      </c>
      <c r="U71" s="86" t="s">
        <v>292</v>
      </c>
      <c r="V71" s="86"/>
    </row>
    <row r="72" spans="1:22" x14ac:dyDescent="0.35">
      <c r="A72" s="86">
        <v>3</v>
      </c>
      <c r="B72" s="86">
        <v>3</v>
      </c>
      <c r="C72" s="86" t="s">
        <v>117</v>
      </c>
      <c r="D72" s="86">
        <v>1065</v>
      </c>
      <c r="E72" s="86" t="s">
        <v>158</v>
      </c>
      <c r="F72" s="86" t="s">
        <v>121</v>
      </c>
      <c r="G72" s="86" t="s">
        <v>20</v>
      </c>
      <c r="H72" s="86" t="s">
        <v>21</v>
      </c>
      <c r="I72" s="34" t="s">
        <v>22</v>
      </c>
      <c r="J72" s="86" t="s">
        <v>23</v>
      </c>
      <c r="K72" s="86">
        <v>2</v>
      </c>
      <c r="L72" s="86">
        <v>4</v>
      </c>
      <c r="M72" s="35">
        <v>44482</v>
      </c>
      <c r="N72" s="150">
        <v>0.34375</v>
      </c>
      <c r="O72" s="32" t="b">
        <v>0</v>
      </c>
      <c r="P72" s="86">
        <v>1065</v>
      </c>
      <c r="Q72" s="86"/>
      <c r="R72" s="86"/>
      <c r="S72" s="86"/>
      <c r="T72" s="86" t="str">
        <f t="shared" si="2"/>
        <v>1065-1066</v>
      </c>
      <c r="U72" s="86" t="s">
        <v>289</v>
      </c>
      <c r="V72" s="86"/>
    </row>
    <row r="73" spans="1:22" x14ac:dyDescent="0.35">
      <c r="A73" s="86">
        <v>6</v>
      </c>
      <c r="B73" s="86">
        <v>3</v>
      </c>
      <c r="C73" s="86" t="s">
        <v>117</v>
      </c>
      <c r="D73" s="86">
        <v>1071</v>
      </c>
      <c r="E73" s="86" t="s">
        <v>163</v>
      </c>
      <c r="F73" s="86" t="s">
        <v>121</v>
      </c>
      <c r="G73" s="86" t="s">
        <v>39</v>
      </c>
      <c r="H73" s="86" t="s">
        <v>25</v>
      </c>
      <c r="I73" s="34" t="s">
        <v>22</v>
      </c>
      <c r="J73" s="86" t="s">
        <v>23</v>
      </c>
      <c r="K73" s="86">
        <v>2</v>
      </c>
      <c r="L73" s="86">
        <v>4</v>
      </c>
      <c r="M73" s="35">
        <v>44482</v>
      </c>
      <c r="N73" s="150">
        <v>0.46875</v>
      </c>
      <c r="O73" s="32" t="b">
        <v>0</v>
      </c>
      <c r="P73" s="86">
        <v>1071</v>
      </c>
      <c r="Q73" s="86"/>
      <c r="R73" s="86"/>
      <c r="S73" s="86"/>
      <c r="T73" s="86" t="str">
        <f t="shared" si="2"/>
        <v>1071-1072</v>
      </c>
      <c r="U73" s="86" t="s">
        <v>291</v>
      </c>
      <c r="V73" s="86"/>
    </row>
    <row r="74" spans="1:22" x14ac:dyDescent="0.35">
      <c r="A74" s="86">
        <v>8</v>
      </c>
      <c r="B74" s="86">
        <v>3</v>
      </c>
      <c r="C74" s="86" t="s">
        <v>117</v>
      </c>
      <c r="D74" s="86">
        <v>1075</v>
      </c>
      <c r="E74" s="86" t="s">
        <v>165</v>
      </c>
      <c r="F74" s="86" t="s">
        <v>121</v>
      </c>
      <c r="G74" s="86" t="s">
        <v>39</v>
      </c>
      <c r="H74" s="86" t="s">
        <v>21</v>
      </c>
      <c r="I74" s="34" t="s">
        <v>22</v>
      </c>
      <c r="J74" s="86" t="s">
        <v>23</v>
      </c>
      <c r="K74" s="86">
        <v>2</v>
      </c>
      <c r="L74" s="86">
        <v>5</v>
      </c>
      <c r="M74" s="35">
        <v>44482</v>
      </c>
      <c r="N74" s="150">
        <v>0.46875</v>
      </c>
      <c r="O74" s="32" t="b">
        <v>0</v>
      </c>
      <c r="P74" s="86">
        <v>1075</v>
      </c>
      <c r="Q74" s="86"/>
      <c r="R74" s="86"/>
      <c r="S74" s="86"/>
      <c r="T74" s="86" t="str">
        <f t="shared" si="2"/>
        <v>1075-1076</v>
      </c>
      <c r="U74" s="86" t="s">
        <v>292</v>
      </c>
      <c r="V74" s="86"/>
    </row>
    <row r="75" spans="1:22" x14ac:dyDescent="0.35">
      <c r="A75" s="86">
        <v>10</v>
      </c>
      <c r="B75" s="86">
        <v>3</v>
      </c>
      <c r="C75" s="86" t="s">
        <v>117</v>
      </c>
      <c r="D75" s="86">
        <v>1079</v>
      </c>
      <c r="E75" s="86" t="s">
        <v>170</v>
      </c>
      <c r="F75" s="86" t="s">
        <v>121</v>
      </c>
      <c r="G75" s="86" t="s">
        <v>20</v>
      </c>
      <c r="H75" s="86" t="s">
        <v>21</v>
      </c>
      <c r="I75" s="34" t="s">
        <v>22</v>
      </c>
      <c r="J75" s="86" t="s">
        <v>23</v>
      </c>
      <c r="K75" s="86">
        <v>2</v>
      </c>
      <c r="L75" s="86">
        <v>5</v>
      </c>
      <c r="M75" s="35">
        <v>44482</v>
      </c>
      <c r="N75" s="150">
        <v>0.46875</v>
      </c>
      <c r="O75" s="32" t="b">
        <v>0</v>
      </c>
      <c r="P75" s="86">
        <v>1079</v>
      </c>
      <c r="Q75" s="86"/>
      <c r="R75" s="86"/>
      <c r="S75" s="86"/>
      <c r="T75" s="86" t="str">
        <f t="shared" si="2"/>
        <v>1079-1080</v>
      </c>
      <c r="U75" s="86" t="s">
        <v>289</v>
      </c>
      <c r="V75" s="86"/>
    </row>
    <row r="76" spans="1:22" x14ac:dyDescent="0.35">
      <c r="A76" s="86">
        <v>12</v>
      </c>
      <c r="B76" s="86">
        <v>3</v>
      </c>
      <c r="C76" s="86" t="s">
        <v>117</v>
      </c>
      <c r="D76" s="86">
        <v>1083</v>
      </c>
      <c r="E76" s="86" t="s">
        <v>172</v>
      </c>
      <c r="F76" s="86" t="s">
        <v>121</v>
      </c>
      <c r="G76" s="86" t="s">
        <v>20</v>
      </c>
      <c r="H76" s="86" t="s">
        <v>25</v>
      </c>
      <c r="I76" s="34" t="s">
        <v>22</v>
      </c>
      <c r="J76" s="86" t="s">
        <v>23</v>
      </c>
      <c r="K76" s="86">
        <v>2</v>
      </c>
      <c r="L76" s="86">
        <v>5</v>
      </c>
      <c r="M76" s="35">
        <v>44482</v>
      </c>
      <c r="N76" s="150">
        <v>0.46875</v>
      </c>
      <c r="O76" s="32" t="b">
        <v>0</v>
      </c>
      <c r="P76" s="86">
        <v>1083</v>
      </c>
      <c r="Q76" s="86"/>
      <c r="R76" s="86"/>
      <c r="S76" s="86"/>
      <c r="T76" s="86" t="str">
        <f t="shared" si="2"/>
        <v>1083-1084</v>
      </c>
      <c r="U76" s="86" t="s">
        <v>290</v>
      </c>
      <c r="V76" s="86"/>
    </row>
    <row r="77" spans="1:22" x14ac:dyDescent="0.35">
      <c r="A77" s="86">
        <v>14</v>
      </c>
      <c r="B77" s="86">
        <v>3</v>
      </c>
      <c r="C77" s="86" t="s">
        <v>117</v>
      </c>
      <c r="D77" s="86">
        <v>1087</v>
      </c>
      <c r="E77" s="86" t="s">
        <v>174</v>
      </c>
      <c r="F77" s="86" t="s">
        <v>121</v>
      </c>
      <c r="G77" s="86" t="s">
        <v>39</v>
      </c>
      <c r="H77" s="86" t="s">
        <v>25</v>
      </c>
      <c r="I77" s="34" t="s">
        <v>22</v>
      </c>
      <c r="J77" s="86" t="s">
        <v>23</v>
      </c>
      <c r="K77" s="86">
        <v>2</v>
      </c>
      <c r="L77" s="86">
        <v>5</v>
      </c>
      <c r="M77" s="35">
        <v>44482</v>
      </c>
      <c r="N77" s="150">
        <v>0.46875</v>
      </c>
      <c r="O77" s="32" t="b">
        <v>0</v>
      </c>
      <c r="P77" s="86">
        <v>1087</v>
      </c>
      <c r="Q77" s="86"/>
      <c r="R77" s="86"/>
      <c r="S77" s="86"/>
      <c r="T77" s="86" t="str">
        <f t="shared" si="2"/>
        <v>1087-1088</v>
      </c>
      <c r="U77" s="86" t="s">
        <v>291</v>
      </c>
      <c r="V77" s="86"/>
    </row>
    <row r="78" spans="1:22" x14ac:dyDescent="0.35">
      <c r="A78" s="86">
        <v>16</v>
      </c>
      <c r="B78" s="86">
        <v>3</v>
      </c>
      <c r="C78" s="86" t="s">
        <v>117</v>
      </c>
      <c r="D78" s="86">
        <v>1091</v>
      </c>
      <c r="E78" s="86" t="s">
        <v>176</v>
      </c>
      <c r="F78" s="86" t="s">
        <v>121</v>
      </c>
      <c r="G78" s="86" t="s">
        <v>39</v>
      </c>
      <c r="H78" s="86" t="s">
        <v>21</v>
      </c>
      <c r="I78" s="34" t="s">
        <v>22</v>
      </c>
      <c r="J78" s="86" t="s">
        <v>23</v>
      </c>
      <c r="K78" s="86">
        <v>2</v>
      </c>
      <c r="L78" s="86">
        <v>6</v>
      </c>
      <c r="M78" s="35">
        <v>44482</v>
      </c>
      <c r="N78" s="150">
        <v>0.46875</v>
      </c>
      <c r="O78" s="32" t="b">
        <v>0</v>
      </c>
      <c r="P78" s="86">
        <v>1091</v>
      </c>
      <c r="Q78" s="86"/>
      <c r="R78" s="86"/>
      <c r="S78" s="86"/>
      <c r="T78" s="86" t="str">
        <f t="shared" si="2"/>
        <v>1091-1092</v>
      </c>
      <c r="U78" s="86" t="s">
        <v>292</v>
      </c>
      <c r="V78" s="86"/>
    </row>
    <row r="79" spans="1:22" x14ac:dyDescent="0.35">
      <c r="A79" s="86">
        <v>17</v>
      </c>
      <c r="B79" s="86">
        <v>3</v>
      </c>
      <c r="C79" s="86" t="s">
        <v>117</v>
      </c>
      <c r="D79" s="86">
        <v>1093</v>
      </c>
      <c r="E79" s="86" t="s">
        <v>177</v>
      </c>
      <c r="F79" s="86" t="s">
        <v>121</v>
      </c>
      <c r="G79" s="86" t="s">
        <v>20</v>
      </c>
      <c r="H79" s="86" t="s">
        <v>21</v>
      </c>
      <c r="I79" s="34" t="s">
        <v>22</v>
      </c>
      <c r="J79" s="86" t="s">
        <v>23</v>
      </c>
      <c r="K79" s="86">
        <v>2</v>
      </c>
      <c r="L79" s="86">
        <v>6</v>
      </c>
      <c r="M79" s="35">
        <v>44482</v>
      </c>
      <c r="N79" s="150">
        <v>0.46875</v>
      </c>
      <c r="O79" s="32" t="b">
        <v>0</v>
      </c>
      <c r="P79" s="86">
        <v>1093</v>
      </c>
      <c r="Q79" s="86"/>
      <c r="R79" s="86"/>
      <c r="S79" s="86"/>
      <c r="T79" s="86" t="str">
        <f t="shared" si="2"/>
        <v>1093-1094</v>
      </c>
      <c r="U79" s="86" t="s">
        <v>289</v>
      </c>
      <c r="V79" s="86"/>
    </row>
    <row r="80" spans="1:22" x14ac:dyDescent="0.35">
      <c r="A80" s="86">
        <v>19</v>
      </c>
      <c r="B80" s="86">
        <v>3</v>
      </c>
      <c r="C80" s="86" t="s">
        <v>117</v>
      </c>
      <c r="D80" s="86">
        <v>1097</v>
      </c>
      <c r="E80" s="86" t="s">
        <v>179</v>
      </c>
      <c r="F80" s="86" t="s">
        <v>121</v>
      </c>
      <c r="G80" s="86" t="s">
        <v>20</v>
      </c>
      <c r="H80" s="86" t="s">
        <v>25</v>
      </c>
      <c r="I80" s="34" t="s">
        <v>22</v>
      </c>
      <c r="J80" s="86" t="s">
        <v>23</v>
      </c>
      <c r="K80" s="86">
        <v>2</v>
      </c>
      <c r="L80" s="86">
        <v>6</v>
      </c>
      <c r="M80" s="35">
        <v>44483</v>
      </c>
      <c r="N80" s="150">
        <v>0.39583333333333331</v>
      </c>
      <c r="O80" s="32" t="b">
        <v>0</v>
      </c>
      <c r="P80" s="86">
        <v>1097</v>
      </c>
      <c r="Q80" s="86"/>
      <c r="R80" s="86"/>
      <c r="S80" s="86"/>
      <c r="T80" s="86" t="str">
        <f t="shared" si="2"/>
        <v>1097-1098</v>
      </c>
      <c r="U80" s="86" t="s">
        <v>290</v>
      </c>
      <c r="V80" s="86"/>
    </row>
    <row r="81" spans="1:22" x14ac:dyDescent="0.35">
      <c r="A81" s="86">
        <v>20</v>
      </c>
      <c r="B81" s="86">
        <v>3</v>
      </c>
      <c r="C81" s="86" t="s">
        <v>117</v>
      </c>
      <c r="D81" s="86">
        <v>1099</v>
      </c>
      <c r="E81" s="86" t="s">
        <v>180</v>
      </c>
      <c r="F81" s="86" t="s">
        <v>121</v>
      </c>
      <c r="G81" s="86" t="s">
        <v>39</v>
      </c>
      <c r="H81" s="86" t="s">
        <v>25</v>
      </c>
      <c r="I81" s="34" t="s">
        <v>22</v>
      </c>
      <c r="J81" s="86" t="s">
        <v>23</v>
      </c>
      <c r="K81" s="86">
        <v>2</v>
      </c>
      <c r="L81" s="86">
        <v>6</v>
      </c>
      <c r="M81" s="35">
        <v>44482</v>
      </c>
      <c r="N81" s="150">
        <v>0.34375</v>
      </c>
      <c r="O81" s="32" t="b">
        <v>0</v>
      </c>
      <c r="P81" s="86">
        <v>1099</v>
      </c>
      <c r="Q81" s="86"/>
      <c r="R81" s="86"/>
      <c r="S81" s="86"/>
      <c r="T81" s="86" t="str">
        <f t="shared" si="2"/>
        <v>1099-1100</v>
      </c>
      <c r="U81" s="86" t="s">
        <v>291</v>
      </c>
      <c r="V81" s="86"/>
    </row>
    <row r="82" spans="1:22" x14ac:dyDescent="0.35">
      <c r="A82" s="86">
        <v>1</v>
      </c>
      <c r="B82" s="86">
        <v>2</v>
      </c>
      <c r="C82" s="86" t="s">
        <v>117</v>
      </c>
      <c r="D82" s="86">
        <v>1103</v>
      </c>
      <c r="E82" s="86" t="s">
        <v>182</v>
      </c>
      <c r="F82" s="86" t="s">
        <v>121</v>
      </c>
      <c r="G82" s="86" t="s">
        <v>39</v>
      </c>
      <c r="H82" s="86" t="s">
        <v>25</v>
      </c>
      <c r="I82" s="34" t="s">
        <v>22</v>
      </c>
      <c r="J82" s="86" t="s">
        <v>23</v>
      </c>
      <c r="K82" s="86">
        <v>2</v>
      </c>
      <c r="L82" s="86">
        <v>7</v>
      </c>
      <c r="M82" s="35">
        <v>44483</v>
      </c>
      <c r="N82" s="150">
        <v>0.39583333333333331</v>
      </c>
      <c r="O82" s="32" t="b">
        <v>0</v>
      </c>
      <c r="P82" s="86">
        <v>1103</v>
      </c>
      <c r="Q82" s="86"/>
      <c r="R82" s="86"/>
      <c r="S82" s="86"/>
      <c r="T82" s="86" t="str">
        <f t="shared" si="2"/>
        <v>1103-1104</v>
      </c>
      <c r="U82" s="86" t="s">
        <v>291</v>
      </c>
      <c r="V82" s="86"/>
    </row>
    <row r="83" spans="1:22" x14ac:dyDescent="0.35">
      <c r="A83" s="86">
        <v>2</v>
      </c>
      <c r="B83" s="86">
        <v>2</v>
      </c>
      <c r="C83" s="86" t="s">
        <v>117</v>
      </c>
      <c r="D83" s="86">
        <v>1105</v>
      </c>
      <c r="E83" s="86" t="s">
        <v>183</v>
      </c>
      <c r="F83" s="86" t="s">
        <v>121</v>
      </c>
      <c r="G83" s="86" t="s">
        <v>39</v>
      </c>
      <c r="H83" s="86" t="s">
        <v>21</v>
      </c>
      <c r="I83" s="34" t="s">
        <v>22</v>
      </c>
      <c r="J83" s="86" t="s">
        <v>23</v>
      </c>
      <c r="K83" s="86">
        <v>2</v>
      </c>
      <c r="L83" s="86">
        <v>7</v>
      </c>
      <c r="M83" s="35">
        <v>44483</v>
      </c>
      <c r="N83" s="150">
        <v>0.39583333333333331</v>
      </c>
      <c r="O83" s="32" t="b">
        <v>0</v>
      </c>
      <c r="P83" s="86">
        <v>1105</v>
      </c>
      <c r="Q83" s="86"/>
      <c r="R83" s="86"/>
      <c r="S83" s="86"/>
      <c r="T83" s="86" t="str">
        <f t="shared" si="2"/>
        <v>1105-1106</v>
      </c>
      <c r="U83" s="86" t="s">
        <v>292</v>
      </c>
      <c r="V83" s="86"/>
    </row>
    <row r="84" spans="1:22" x14ac:dyDescent="0.35">
      <c r="A84" s="86">
        <v>4</v>
      </c>
      <c r="B84" s="86">
        <v>2</v>
      </c>
      <c r="C84" s="86" t="s">
        <v>117</v>
      </c>
      <c r="D84" s="86">
        <v>1109</v>
      </c>
      <c r="E84" s="86" t="s">
        <v>187</v>
      </c>
      <c r="F84" s="86" t="s">
        <v>121</v>
      </c>
      <c r="G84" s="86" t="s">
        <v>20</v>
      </c>
      <c r="H84" s="86" t="s">
        <v>21</v>
      </c>
      <c r="I84" s="34" t="s">
        <v>22</v>
      </c>
      <c r="J84" s="86" t="s">
        <v>23</v>
      </c>
      <c r="K84" s="86">
        <v>2</v>
      </c>
      <c r="L84" s="86">
        <v>7</v>
      </c>
      <c r="M84" s="35">
        <v>44483</v>
      </c>
      <c r="N84" s="150">
        <v>0.39583333333333331</v>
      </c>
      <c r="O84" s="32" t="b">
        <v>0</v>
      </c>
      <c r="P84" s="86">
        <v>1109</v>
      </c>
      <c r="Q84" s="86"/>
      <c r="R84" s="86"/>
      <c r="S84" s="86"/>
      <c r="T84" s="86" t="str">
        <f t="shared" si="2"/>
        <v>1109-1110</v>
      </c>
      <c r="U84" s="86" t="s">
        <v>289</v>
      </c>
      <c r="V84" s="86"/>
    </row>
    <row r="85" spans="1:22" x14ac:dyDescent="0.35">
      <c r="A85" s="86">
        <v>5</v>
      </c>
      <c r="B85" s="86">
        <v>2</v>
      </c>
      <c r="C85" s="86" t="s">
        <v>117</v>
      </c>
      <c r="D85" s="86">
        <v>1111</v>
      </c>
      <c r="E85" s="86" t="s">
        <v>188</v>
      </c>
      <c r="F85" s="86" t="s">
        <v>121</v>
      </c>
      <c r="G85" s="86" t="s">
        <v>20</v>
      </c>
      <c r="H85" s="86" t="s">
        <v>25</v>
      </c>
      <c r="I85" s="34" t="s">
        <v>22</v>
      </c>
      <c r="J85" s="86" t="s">
        <v>23</v>
      </c>
      <c r="K85" s="86">
        <v>2</v>
      </c>
      <c r="L85" s="86">
        <v>7</v>
      </c>
      <c r="M85" s="35">
        <v>44483</v>
      </c>
      <c r="N85" s="150">
        <v>0.39583333333333331</v>
      </c>
      <c r="O85" s="32" t="b">
        <v>0</v>
      </c>
      <c r="P85" s="86">
        <v>1111</v>
      </c>
      <c r="Q85" s="86"/>
      <c r="R85" s="86"/>
      <c r="S85" s="86"/>
      <c r="T85" s="86" t="str">
        <f t="shared" si="2"/>
        <v>1111-1112</v>
      </c>
      <c r="U85" s="86" t="s">
        <v>290</v>
      </c>
      <c r="V85" s="86"/>
    </row>
    <row r="86" spans="1:22" x14ac:dyDescent="0.35">
      <c r="A86" s="86">
        <v>7</v>
      </c>
      <c r="B86" s="86">
        <v>2</v>
      </c>
      <c r="C86" s="86" t="s">
        <v>117</v>
      </c>
      <c r="D86" s="86">
        <v>1115</v>
      </c>
      <c r="E86" s="86" t="s">
        <v>190</v>
      </c>
      <c r="F86" s="86" t="s">
        <v>121</v>
      </c>
      <c r="G86" s="86" t="s">
        <v>39</v>
      </c>
      <c r="H86" s="86" t="s">
        <v>25</v>
      </c>
      <c r="I86" s="34" t="s">
        <v>22</v>
      </c>
      <c r="J86" s="86" t="s">
        <v>23</v>
      </c>
      <c r="K86" s="86">
        <v>2</v>
      </c>
      <c r="L86" s="86">
        <v>8</v>
      </c>
      <c r="M86" s="35">
        <v>44483</v>
      </c>
      <c r="N86" s="150">
        <v>0.5</v>
      </c>
      <c r="O86" s="32" t="b">
        <v>0</v>
      </c>
      <c r="P86" s="86">
        <v>1115</v>
      </c>
      <c r="Q86" s="86"/>
      <c r="R86" s="86"/>
      <c r="S86" s="86"/>
      <c r="T86" s="86" t="str">
        <f t="shared" si="2"/>
        <v>1115-1116</v>
      </c>
      <c r="U86" s="86" t="s">
        <v>291</v>
      </c>
      <c r="V86" s="86"/>
    </row>
    <row r="87" spans="1:22" x14ac:dyDescent="0.35">
      <c r="A87" s="86">
        <v>9</v>
      </c>
      <c r="B87" s="86">
        <v>2</v>
      </c>
      <c r="C87" s="86" t="s">
        <v>117</v>
      </c>
      <c r="D87" s="86">
        <v>1119</v>
      </c>
      <c r="E87" s="86" t="s">
        <v>192</v>
      </c>
      <c r="F87" s="86" t="s">
        <v>121</v>
      </c>
      <c r="G87" s="86" t="s">
        <v>39</v>
      </c>
      <c r="H87" s="86" t="s">
        <v>21</v>
      </c>
      <c r="I87" s="34" t="s">
        <v>22</v>
      </c>
      <c r="J87" s="86" t="s">
        <v>23</v>
      </c>
      <c r="K87" s="86">
        <v>2</v>
      </c>
      <c r="L87" s="86">
        <v>8</v>
      </c>
      <c r="M87" s="35">
        <v>44483</v>
      </c>
      <c r="N87" s="150">
        <v>0.5</v>
      </c>
      <c r="O87" s="32" t="b">
        <v>0</v>
      </c>
      <c r="P87" s="86">
        <v>1119</v>
      </c>
      <c r="Q87" s="86"/>
      <c r="R87" s="86"/>
      <c r="S87" s="86"/>
      <c r="T87" s="86" t="str">
        <f t="shared" si="2"/>
        <v>1119-1120</v>
      </c>
      <c r="U87" s="86" t="s">
        <v>292</v>
      </c>
      <c r="V87" s="86"/>
    </row>
    <row r="88" spans="1:22" x14ac:dyDescent="0.35">
      <c r="A88" s="86">
        <v>13</v>
      </c>
      <c r="B88" s="86">
        <v>2</v>
      </c>
      <c r="C88" s="86" t="s">
        <v>117</v>
      </c>
      <c r="D88" s="86">
        <v>1127</v>
      </c>
      <c r="E88" s="86" t="s">
        <v>198</v>
      </c>
      <c r="F88" s="86" t="s">
        <v>121</v>
      </c>
      <c r="G88" s="86" t="s">
        <v>20</v>
      </c>
      <c r="H88" s="86" t="s">
        <v>21</v>
      </c>
      <c r="I88" s="34" t="s">
        <v>22</v>
      </c>
      <c r="J88" s="86" t="s">
        <v>23</v>
      </c>
      <c r="K88" s="86">
        <v>2</v>
      </c>
      <c r="L88" s="86">
        <v>8</v>
      </c>
      <c r="M88" s="35">
        <v>44483</v>
      </c>
      <c r="N88" s="150">
        <v>0.5</v>
      </c>
      <c r="O88" s="32" t="b">
        <v>0</v>
      </c>
      <c r="P88" s="86">
        <v>1127</v>
      </c>
      <c r="Q88" s="86"/>
      <c r="R88" s="86"/>
      <c r="S88" s="86"/>
      <c r="T88" s="86" t="str">
        <f t="shared" si="2"/>
        <v>1127-1128</v>
      </c>
      <c r="U88" s="86" t="s">
        <v>289</v>
      </c>
      <c r="V88" s="86"/>
    </row>
    <row r="89" spans="1:22" x14ac:dyDescent="0.35">
      <c r="A89" s="86">
        <v>15</v>
      </c>
      <c r="B89" s="86">
        <v>2</v>
      </c>
      <c r="C89" s="86" t="s">
        <v>117</v>
      </c>
      <c r="D89" s="86">
        <v>1131</v>
      </c>
      <c r="E89" s="86" t="s">
        <v>200</v>
      </c>
      <c r="F89" s="86" t="s">
        <v>121</v>
      </c>
      <c r="G89" s="86" t="s">
        <v>20</v>
      </c>
      <c r="H89" s="86" t="s">
        <v>25</v>
      </c>
      <c r="I89" s="34" t="s">
        <v>22</v>
      </c>
      <c r="J89" s="86" t="s">
        <v>23</v>
      </c>
      <c r="K89" s="86">
        <v>2</v>
      </c>
      <c r="L89" s="86">
        <v>8</v>
      </c>
      <c r="M89" s="35">
        <v>44483</v>
      </c>
      <c r="N89" s="150">
        <v>0.5</v>
      </c>
      <c r="O89" s="32" t="b">
        <v>0</v>
      </c>
      <c r="P89" s="86">
        <v>1131</v>
      </c>
      <c r="Q89" s="86"/>
      <c r="R89" s="86"/>
      <c r="S89" s="86"/>
      <c r="T89" s="86" t="str">
        <f t="shared" si="2"/>
        <v>1131-1132</v>
      </c>
      <c r="U89" s="86" t="s">
        <v>290</v>
      </c>
      <c r="V89" s="86"/>
    </row>
    <row r="90" spans="1:22" x14ac:dyDescent="0.35">
      <c r="A90" s="86">
        <v>17</v>
      </c>
      <c r="B90" s="86">
        <v>2</v>
      </c>
      <c r="C90" s="86" t="s">
        <v>117</v>
      </c>
      <c r="D90" s="86">
        <v>1135</v>
      </c>
      <c r="E90" s="86" t="s">
        <v>202</v>
      </c>
      <c r="F90" s="86" t="s">
        <v>19</v>
      </c>
      <c r="G90" s="86" t="s">
        <v>20</v>
      </c>
      <c r="H90" s="86" t="s">
        <v>21</v>
      </c>
      <c r="I90" s="34" t="s">
        <v>22</v>
      </c>
      <c r="J90" s="86" t="s">
        <v>23</v>
      </c>
      <c r="K90" s="86">
        <v>1</v>
      </c>
      <c r="L90" s="86">
        <v>3</v>
      </c>
      <c r="M90" s="35">
        <v>44466</v>
      </c>
      <c r="N90" s="150"/>
      <c r="O90" s="32" t="b">
        <v>0</v>
      </c>
      <c r="P90" s="86">
        <v>1135</v>
      </c>
      <c r="Q90" s="86"/>
      <c r="R90" s="86"/>
      <c r="S90" s="86"/>
      <c r="T90" s="86"/>
      <c r="U90" s="86" t="s">
        <v>285</v>
      </c>
      <c r="V90" s="86"/>
    </row>
    <row r="91" spans="1:22" x14ac:dyDescent="0.35">
      <c r="A91" s="86">
        <v>17</v>
      </c>
      <c r="B91" s="86">
        <v>2</v>
      </c>
      <c r="C91" s="86" t="s">
        <v>117</v>
      </c>
      <c r="D91" s="86">
        <v>1135</v>
      </c>
      <c r="E91" s="86" t="s">
        <v>202</v>
      </c>
      <c r="F91" s="86" t="s">
        <v>19</v>
      </c>
      <c r="G91" s="86" t="s">
        <v>20</v>
      </c>
      <c r="H91" s="86" t="s">
        <v>21</v>
      </c>
      <c r="I91" s="34" t="s">
        <v>22</v>
      </c>
      <c r="J91" s="86" t="s">
        <v>23</v>
      </c>
      <c r="K91" s="86">
        <v>1</v>
      </c>
      <c r="L91" s="86">
        <v>3</v>
      </c>
      <c r="M91" s="35">
        <v>44466</v>
      </c>
      <c r="N91" s="150"/>
      <c r="O91" s="32" t="b">
        <v>1</v>
      </c>
      <c r="P91" s="86">
        <v>1136</v>
      </c>
      <c r="Q91" s="86"/>
      <c r="R91" s="86"/>
      <c r="S91" s="86"/>
      <c r="T91" s="86"/>
      <c r="U91" s="86" t="s">
        <v>285</v>
      </c>
      <c r="V91" s="86"/>
    </row>
    <row r="92" spans="1:22" x14ac:dyDescent="0.35">
      <c r="A92" s="86">
        <v>18</v>
      </c>
      <c r="B92" s="86">
        <v>2</v>
      </c>
      <c r="C92" s="86" t="s">
        <v>117</v>
      </c>
      <c r="D92" s="86">
        <v>1137</v>
      </c>
      <c r="E92" s="86" t="s">
        <v>203</v>
      </c>
      <c r="F92" s="86" t="s">
        <v>121</v>
      </c>
      <c r="G92" s="86" t="s">
        <v>20</v>
      </c>
      <c r="H92" s="86" t="s">
        <v>25</v>
      </c>
      <c r="I92" s="34"/>
      <c r="J92" s="86"/>
      <c r="K92" s="86">
        <v>2</v>
      </c>
      <c r="L92" s="86">
        <v>3</v>
      </c>
      <c r="M92" s="35"/>
      <c r="N92" s="150"/>
      <c r="O92" s="32" t="b">
        <v>1</v>
      </c>
      <c r="P92" s="86">
        <v>1138</v>
      </c>
      <c r="Q92" s="86"/>
      <c r="R92" s="86"/>
      <c r="S92" s="86"/>
      <c r="T92" s="86"/>
      <c r="U92" s="86" t="s">
        <v>290</v>
      </c>
      <c r="V92" s="86"/>
    </row>
    <row r="93" spans="1:22" x14ac:dyDescent="0.35">
      <c r="A93" s="86">
        <v>20</v>
      </c>
      <c r="B93" s="86">
        <v>2</v>
      </c>
      <c r="C93" s="86" t="s">
        <v>117</v>
      </c>
      <c r="D93" s="86">
        <v>1141</v>
      </c>
      <c r="E93" s="86" t="s">
        <v>205</v>
      </c>
      <c r="F93" s="86" t="s">
        <v>19</v>
      </c>
      <c r="G93" s="86" t="s">
        <v>20</v>
      </c>
      <c r="H93" s="86" t="s">
        <v>25</v>
      </c>
      <c r="I93" s="34" t="s">
        <v>22</v>
      </c>
      <c r="J93" s="86" t="s">
        <v>23</v>
      </c>
      <c r="K93" s="86">
        <v>1</v>
      </c>
      <c r="L93" s="86">
        <v>3</v>
      </c>
      <c r="M93" s="35">
        <v>44466</v>
      </c>
      <c r="N93" s="150"/>
      <c r="O93" s="32" t="b">
        <v>0</v>
      </c>
      <c r="P93" s="86">
        <v>1141</v>
      </c>
      <c r="Q93" s="86"/>
      <c r="R93" s="86"/>
      <c r="S93" s="86"/>
      <c r="T93" s="86"/>
      <c r="U93" s="86" t="s">
        <v>286</v>
      </c>
      <c r="V93" s="86"/>
    </row>
    <row r="94" spans="1:22" x14ac:dyDescent="0.35">
      <c r="A94" s="86">
        <v>20</v>
      </c>
      <c r="B94" s="86">
        <v>2</v>
      </c>
      <c r="C94" s="86" t="s">
        <v>117</v>
      </c>
      <c r="D94" s="86">
        <v>1141</v>
      </c>
      <c r="E94" s="86" t="s">
        <v>205</v>
      </c>
      <c r="F94" s="86" t="s">
        <v>19</v>
      </c>
      <c r="G94" s="86" t="s">
        <v>20</v>
      </c>
      <c r="H94" s="86" t="s">
        <v>25</v>
      </c>
      <c r="I94" s="34" t="s">
        <v>22</v>
      </c>
      <c r="J94" s="86" t="s">
        <v>23</v>
      </c>
      <c r="K94" s="86">
        <v>1</v>
      </c>
      <c r="L94" s="86">
        <v>3</v>
      </c>
      <c r="M94" s="35">
        <v>44466</v>
      </c>
      <c r="N94" s="150"/>
      <c r="O94" s="32" t="b">
        <v>1</v>
      </c>
      <c r="P94" s="86">
        <v>1142</v>
      </c>
      <c r="Q94" s="86"/>
      <c r="R94" s="86"/>
      <c r="S94" s="86"/>
      <c r="T94" s="86"/>
      <c r="U94" s="86" t="s">
        <v>286</v>
      </c>
      <c r="V94" s="86"/>
    </row>
  </sheetData>
  <conditionalFormatting sqref="I1:I1048576">
    <cfRule type="containsText" dxfId="56" priority="9" operator="containsText" text="BM">
      <formula>NOT(ISERROR(SEARCH("BM",I1)))</formula>
    </cfRule>
    <cfRule type="containsText" dxfId="55" priority="10" operator="containsText" text="exud">
      <formula>NOT(ISERROR(SEARCH("exud",I1)))</formula>
    </cfRule>
    <cfRule type="containsText" dxfId="54" priority="11" operator="containsText" text="jav">
      <formula>NOT(ISERROR(SEARCH("jav",I1)))</formula>
    </cfRule>
    <cfRule type="containsText" dxfId="53" priority="12" operator="containsText" text="eco">
      <formula>NOT(ISERROR(SEARCH("eco",I1)))</formula>
    </cfRule>
  </conditionalFormatting>
  <conditionalFormatting sqref="O1:O1048576">
    <cfRule type="containsText" dxfId="52" priority="13" operator="containsText" text="faux">
      <formula>NOT(ISERROR(SEARCH("faux",O1)))</formula>
    </cfRule>
  </conditionalFormatting>
  <conditionalFormatting sqref="M1:M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ntainsText" dxfId="51" priority="6" operator="containsText" text="Sto_WS_HS">
      <formula>NOT(ISERROR(SEARCH("Sto_WS_HS",U1)))</formula>
    </cfRule>
    <cfRule type="containsText" dxfId="50" priority="7" operator="containsText" text="Sto_WS_OT">
      <formula>NOT(ISERROR(SEARCH("Sto_WS_OT",U1)))</formula>
    </cfRule>
    <cfRule type="containsText" dxfId="49" priority="8" operator="containsText" text="Sto_WW_OT">
      <formula>NOT(ISERROR(SEARCH("Sto_WW_OT",U1)))</formula>
    </cfRule>
  </conditionalFormatting>
  <conditionalFormatting sqref="U1:U1048576">
    <cfRule type="containsText" dxfId="48" priority="3" operator="containsText" text="Wen_WS_HS">
      <formula>NOT(ISERROR(SEARCH("Wen_WS_HS",U1)))</formula>
    </cfRule>
    <cfRule type="containsText" dxfId="47" priority="4" operator="containsText" text="Wen_WS_OT">
      <formula>NOT(ISERROR(SEARCH("Wen_WS_OT",U1)))</formula>
    </cfRule>
    <cfRule type="containsText" dxfId="46" priority="5" operator="containsText" text="Wen_WW_OT">
      <formula>NOT(ISERROR(SEARCH("Wen_WW_OT",U1)))</formula>
    </cfRule>
  </conditionalFormatting>
  <conditionalFormatting sqref="U1:U1048576">
    <cfRule type="containsText" dxfId="45" priority="1" operator="containsText" text="Wen_WW_HS">
      <formula>NOT(ISERROR(SEARCH("Wen_WW_HS",U1)))</formula>
    </cfRule>
    <cfRule type="containsText" dxfId="44" priority="2" operator="containsText" text="Sto_WW_HS">
      <formula>NOT(ISERROR(SEARCH("Sto_WW_HS",U1)))</formula>
    </cfRule>
  </conditionalFormatting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27E3-AFC1-4B3E-9C9A-996E89B3FF8C}">
  <sheetPr filterMode="1"/>
  <dimension ref="A1:P94"/>
  <sheetViews>
    <sheetView topLeftCell="M1" zoomScaleNormal="100" workbookViewId="0">
      <selection activeCell="S43" sqref="S43"/>
    </sheetView>
  </sheetViews>
  <sheetFormatPr baseColWidth="10" defaultRowHeight="14.5" x14ac:dyDescent="0.35"/>
  <cols>
    <col min="1" max="1" width="16.54296875" hidden="1" customWidth="1"/>
    <col min="2" max="2" width="17.54296875" hidden="1" customWidth="1"/>
    <col min="3" max="3" width="7.26953125" hidden="1" customWidth="1"/>
    <col min="4" max="4" width="4" hidden="1" customWidth="1"/>
    <col min="5" max="5" width="12.26953125" hidden="1" customWidth="1"/>
    <col min="6" max="6" width="20.81640625" hidden="1" customWidth="1"/>
    <col min="7" max="7" width="5.7265625" hidden="1" customWidth="1"/>
    <col min="8" max="9" width="10.54296875" hidden="1" customWidth="1"/>
    <col min="10" max="10" width="5" hidden="1" customWidth="1"/>
    <col min="11" max="11" width="16.81640625" hidden="1" customWidth="1"/>
    <col min="12" max="12" width="34.26953125" hidden="1" customWidth="1"/>
    <col min="13" max="13" width="13.453125" customWidth="1"/>
    <col min="14" max="14" width="16.1796875" customWidth="1"/>
    <col min="15" max="15" width="13.453125" customWidth="1"/>
    <col min="16" max="16" width="17.26953125" customWidth="1"/>
  </cols>
  <sheetData>
    <row r="1" spans="1:16" ht="18.5" x14ac:dyDescent="0.45">
      <c r="A1" s="34" t="s">
        <v>8</v>
      </c>
      <c r="B1" s="86" t="s">
        <v>9</v>
      </c>
      <c r="C1" s="86" t="s">
        <v>10</v>
      </c>
      <c r="D1" s="86" t="s">
        <v>11</v>
      </c>
      <c r="E1" s="35" t="s">
        <v>12</v>
      </c>
      <c r="F1" s="150" t="s">
        <v>269</v>
      </c>
      <c r="G1" s="32" t="s">
        <v>13</v>
      </c>
      <c r="H1" s="86" t="s">
        <v>14</v>
      </c>
      <c r="I1" s="86"/>
      <c r="J1" s="86" t="s">
        <v>247</v>
      </c>
      <c r="K1" s="86" t="s">
        <v>15</v>
      </c>
      <c r="L1" s="86" t="s">
        <v>16</v>
      </c>
      <c r="M1" s="153" t="s">
        <v>902</v>
      </c>
      <c r="N1" s="153" t="s">
        <v>900</v>
      </c>
      <c r="O1" s="153" t="s">
        <v>897</v>
      </c>
      <c r="P1" s="153" t="s">
        <v>283</v>
      </c>
    </row>
    <row r="2" spans="1:16" hidden="1" x14ac:dyDescent="0.35">
      <c r="A2" s="34" t="s">
        <v>22</v>
      </c>
      <c r="B2" s="86" t="s">
        <v>23</v>
      </c>
      <c r="C2" s="86">
        <v>1</v>
      </c>
      <c r="D2" s="86">
        <v>1</v>
      </c>
      <c r="E2" s="35">
        <v>44466</v>
      </c>
      <c r="F2" s="150"/>
      <c r="G2" s="32" t="b">
        <v>0</v>
      </c>
      <c r="H2" s="86">
        <v>1</v>
      </c>
      <c r="I2" s="86"/>
      <c r="J2" s="86"/>
      <c r="K2" s="86"/>
      <c r="L2" s="86"/>
      <c r="M2" s="86"/>
      <c r="N2" s="86"/>
      <c r="O2" s="86"/>
      <c r="P2" s="86" t="s">
        <v>285</v>
      </c>
    </row>
    <row r="3" spans="1:16" hidden="1" x14ac:dyDescent="0.35">
      <c r="A3" s="34" t="s">
        <v>22</v>
      </c>
      <c r="B3" s="86" t="s">
        <v>23</v>
      </c>
      <c r="C3" s="86">
        <v>1</v>
      </c>
      <c r="D3" s="86">
        <v>1</v>
      </c>
      <c r="E3" s="35">
        <v>44466</v>
      </c>
      <c r="F3" s="150"/>
      <c r="G3" s="32" t="b">
        <v>1</v>
      </c>
      <c r="H3" s="86">
        <v>2</v>
      </c>
      <c r="I3" s="86"/>
      <c r="J3" s="86"/>
      <c r="K3" s="86"/>
      <c r="L3" s="86"/>
      <c r="M3" s="86"/>
      <c r="N3" s="86"/>
      <c r="O3" s="86"/>
      <c r="P3" s="86" t="s">
        <v>285</v>
      </c>
    </row>
    <row r="4" spans="1:16" hidden="1" x14ac:dyDescent="0.35">
      <c r="A4" s="34"/>
      <c r="B4" s="86"/>
      <c r="C4" s="86"/>
      <c r="D4" s="86"/>
      <c r="E4" s="35"/>
      <c r="F4" s="150"/>
      <c r="G4" s="32" t="b">
        <v>1</v>
      </c>
      <c r="H4" s="86">
        <v>6</v>
      </c>
      <c r="I4" s="86"/>
      <c r="J4" s="86"/>
      <c r="K4" s="86"/>
      <c r="L4" s="86"/>
      <c r="M4" s="86"/>
      <c r="N4" s="86"/>
      <c r="O4" s="86"/>
      <c r="P4" s="86" t="s">
        <v>285</v>
      </c>
    </row>
    <row r="5" spans="1:16" hidden="1" x14ac:dyDescent="0.35">
      <c r="A5" s="34" t="s">
        <v>22</v>
      </c>
      <c r="B5" s="86" t="s">
        <v>23</v>
      </c>
      <c r="C5" s="86">
        <v>1</v>
      </c>
      <c r="D5" s="86">
        <v>1</v>
      </c>
      <c r="E5" s="35">
        <v>44466</v>
      </c>
      <c r="F5" s="150"/>
      <c r="G5" s="32" t="b">
        <v>0</v>
      </c>
      <c r="H5" s="86">
        <v>7</v>
      </c>
      <c r="I5" s="86"/>
      <c r="J5" s="86"/>
      <c r="K5" s="86"/>
      <c r="L5" s="86"/>
      <c r="M5" s="86"/>
      <c r="N5" s="86"/>
      <c r="O5" s="86"/>
      <c r="P5" s="86" t="s">
        <v>286</v>
      </c>
    </row>
    <row r="6" spans="1:16" hidden="1" x14ac:dyDescent="0.35">
      <c r="A6" s="34" t="s">
        <v>22</v>
      </c>
      <c r="B6" s="86" t="s">
        <v>23</v>
      </c>
      <c r="C6" s="86">
        <v>1</v>
      </c>
      <c r="D6" s="86">
        <v>1</v>
      </c>
      <c r="E6" s="35">
        <v>44466</v>
      </c>
      <c r="F6" s="150"/>
      <c r="G6" s="32" t="b">
        <v>1</v>
      </c>
      <c r="H6" s="86">
        <v>8</v>
      </c>
      <c r="I6" s="86"/>
      <c r="J6" s="86"/>
      <c r="K6" s="86"/>
      <c r="L6" s="86"/>
      <c r="M6" s="86"/>
      <c r="N6" s="86"/>
      <c r="O6" s="86"/>
      <c r="P6" s="86" t="s">
        <v>286</v>
      </c>
    </row>
    <row r="7" spans="1:16" hidden="1" x14ac:dyDescent="0.35">
      <c r="A7" s="34" t="s">
        <v>22</v>
      </c>
      <c r="B7" s="86" t="s">
        <v>23</v>
      </c>
      <c r="C7" s="86">
        <v>1</v>
      </c>
      <c r="D7" s="86">
        <v>2</v>
      </c>
      <c r="E7" s="35">
        <v>44466</v>
      </c>
      <c r="F7" s="150"/>
      <c r="G7" s="32" t="b">
        <v>0</v>
      </c>
      <c r="H7" s="86">
        <v>11</v>
      </c>
      <c r="I7" s="86"/>
      <c r="J7" s="86"/>
      <c r="K7" s="86"/>
      <c r="L7" s="86"/>
      <c r="M7" s="86"/>
      <c r="N7" s="86"/>
      <c r="O7" s="86"/>
      <c r="P7" s="86" t="s">
        <v>286</v>
      </c>
    </row>
    <row r="8" spans="1:16" hidden="1" x14ac:dyDescent="0.35">
      <c r="A8" s="34" t="s">
        <v>22</v>
      </c>
      <c r="B8" s="86" t="s">
        <v>23</v>
      </c>
      <c r="C8" s="86">
        <v>1</v>
      </c>
      <c r="D8" s="86">
        <v>2</v>
      </c>
      <c r="E8" s="35">
        <v>44466</v>
      </c>
      <c r="F8" s="150"/>
      <c r="G8" s="32" t="b">
        <v>1</v>
      </c>
      <c r="H8" s="86">
        <v>12</v>
      </c>
      <c r="I8" s="86"/>
      <c r="J8" s="86"/>
      <c r="K8" s="86"/>
      <c r="L8" s="86"/>
      <c r="M8" s="86"/>
      <c r="N8" s="86"/>
      <c r="O8" s="86"/>
      <c r="P8" s="86" t="s">
        <v>286</v>
      </c>
    </row>
    <row r="9" spans="1:16" hidden="1" x14ac:dyDescent="0.35">
      <c r="A9" s="34" t="s">
        <v>22</v>
      </c>
      <c r="B9" s="86" t="s">
        <v>23</v>
      </c>
      <c r="C9" s="86">
        <v>1</v>
      </c>
      <c r="D9" s="86">
        <v>2</v>
      </c>
      <c r="E9" s="35">
        <v>44466</v>
      </c>
      <c r="F9" s="150"/>
      <c r="G9" s="32" t="b">
        <v>0</v>
      </c>
      <c r="H9" s="86">
        <v>13</v>
      </c>
      <c r="I9" s="86"/>
      <c r="J9" s="86"/>
      <c r="K9" s="86"/>
      <c r="L9" s="86"/>
      <c r="M9" s="86"/>
      <c r="N9" s="86"/>
      <c r="O9" s="86"/>
      <c r="P9" s="86" t="s">
        <v>285</v>
      </c>
    </row>
    <row r="10" spans="1:16" hidden="1" x14ac:dyDescent="0.35">
      <c r="A10" s="34" t="s">
        <v>22</v>
      </c>
      <c r="B10" s="86" t="s">
        <v>23</v>
      </c>
      <c r="C10" s="86">
        <v>1</v>
      </c>
      <c r="D10" s="86">
        <v>2</v>
      </c>
      <c r="E10" s="35">
        <v>44466</v>
      </c>
      <c r="F10" s="150"/>
      <c r="G10" s="32" t="b">
        <v>1</v>
      </c>
      <c r="H10" s="86">
        <v>14</v>
      </c>
      <c r="I10" s="86"/>
      <c r="J10" s="86"/>
      <c r="K10" s="86"/>
      <c r="L10" s="86"/>
      <c r="M10" s="86"/>
      <c r="N10" s="86"/>
      <c r="O10" s="86"/>
      <c r="P10" s="86" t="s">
        <v>285</v>
      </c>
    </row>
    <row r="11" spans="1:16" hidden="1" x14ac:dyDescent="0.35">
      <c r="A11" s="34" t="s">
        <v>22</v>
      </c>
      <c r="B11" s="86" t="s">
        <v>23</v>
      </c>
      <c r="C11" s="86">
        <v>2</v>
      </c>
      <c r="D11" s="86">
        <v>2</v>
      </c>
      <c r="E11" s="35">
        <v>44481</v>
      </c>
      <c r="F11" s="150">
        <v>0.34375</v>
      </c>
      <c r="G11" s="32" t="b">
        <v>0</v>
      </c>
      <c r="H11" s="86">
        <v>15</v>
      </c>
      <c r="I11" s="86"/>
      <c r="J11" s="86"/>
      <c r="K11" s="86"/>
      <c r="L11" s="86"/>
      <c r="M11" s="86"/>
      <c r="N11" s="86"/>
      <c r="O11" s="86" t="str">
        <f>H11&amp;"-"&amp;H11+1</f>
        <v>15-16</v>
      </c>
      <c r="P11" s="86" t="s">
        <v>286</v>
      </c>
    </row>
    <row r="12" spans="1:16" hidden="1" x14ac:dyDescent="0.35">
      <c r="A12" s="34" t="s">
        <v>22</v>
      </c>
      <c r="B12" s="86" t="s">
        <v>23</v>
      </c>
      <c r="C12" s="86">
        <v>2</v>
      </c>
      <c r="D12" s="86">
        <v>1</v>
      </c>
      <c r="E12" s="35">
        <v>44481</v>
      </c>
      <c r="F12" s="150">
        <v>0.34375</v>
      </c>
      <c r="G12" s="32" t="b">
        <v>0</v>
      </c>
      <c r="H12" s="86">
        <v>17</v>
      </c>
      <c r="I12" s="86"/>
      <c r="J12" s="86"/>
      <c r="K12" s="86"/>
      <c r="L12" s="86"/>
      <c r="M12" s="86"/>
      <c r="N12" s="86"/>
      <c r="O12" s="86" t="str">
        <f t="shared" ref="O12" si="0">H12&amp;"-"&amp;H12+1</f>
        <v>17-18</v>
      </c>
      <c r="P12" s="86" t="s">
        <v>285</v>
      </c>
    </row>
    <row r="13" spans="1:16" ht="18.5" x14ac:dyDescent="0.45">
      <c r="A13" s="34" t="s">
        <v>22</v>
      </c>
      <c r="B13" s="86" t="s">
        <v>23</v>
      </c>
      <c r="C13" s="86">
        <v>2</v>
      </c>
      <c r="D13" s="86">
        <v>1</v>
      </c>
      <c r="E13" s="35">
        <v>44482</v>
      </c>
      <c r="F13" s="150">
        <v>0.51041666666666663</v>
      </c>
      <c r="G13" s="32" t="b">
        <v>0</v>
      </c>
      <c r="H13" s="86">
        <v>83</v>
      </c>
      <c r="I13" s="86" t="s">
        <v>302</v>
      </c>
      <c r="J13" s="86"/>
      <c r="K13" s="86"/>
      <c r="L13" s="86"/>
      <c r="M13" s="152">
        <v>1</v>
      </c>
      <c r="N13" s="152" t="s">
        <v>901</v>
      </c>
      <c r="O13" s="153" t="str">
        <f t="shared" ref="O13:O43" si="1">H13&amp;"-"&amp;H13+1</f>
        <v>83-84</v>
      </c>
      <c r="P13" s="152" t="s">
        <v>286</v>
      </c>
    </row>
    <row r="14" spans="1:16" ht="18.5" x14ac:dyDescent="0.45">
      <c r="A14" s="34" t="s">
        <v>22</v>
      </c>
      <c r="B14" s="86" t="s">
        <v>23</v>
      </c>
      <c r="C14" s="86">
        <v>2</v>
      </c>
      <c r="D14" s="86">
        <v>1</v>
      </c>
      <c r="E14" s="35">
        <v>44483</v>
      </c>
      <c r="F14" s="150">
        <v>0.42708333333333331</v>
      </c>
      <c r="G14" s="32" t="b">
        <v>0</v>
      </c>
      <c r="H14" s="86">
        <v>131</v>
      </c>
      <c r="I14" s="86" t="s">
        <v>302</v>
      </c>
      <c r="J14" s="86"/>
      <c r="K14" s="86"/>
      <c r="L14" s="86"/>
      <c r="M14" s="152">
        <v>2</v>
      </c>
      <c r="N14" s="152" t="s">
        <v>901</v>
      </c>
      <c r="O14" s="153" t="str">
        <f t="shared" si="1"/>
        <v>131-132</v>
      </c>
      <c r="P14" s="152" t="s">
        <v>286</v>
      </c>
    </row>
    <row r="15" spans="1:16" ht="18.5" x14ac:dyDescent="0.45">
      <c r="A15" s="34" t="s">
        <v>22</v>
      </c>
      <c r="B15" s="86" t="s">
        <v>23</v>
      </c>
      <c r="C15" s="86">
        <v>2</v>
      </c>
      <c r="D15" s="86">
        <v>1</v>
      </c>
      <c r="E15" s="35">
        <v>44483</v>
      </c>
      <c r="F15" s="150">
        <v>0.4375</v>
      </c>
      <c r="G15" s="32" t="b">
        <v>0</v>
      </c>
      <c r="H15" s="86">
        <v>111</v>
      </c>
      <c r="I15" s="86" t="s">
        <v>302</v>
      </c>
      <c r="J15" s="86"/>
      <c r="K15" s="86"/>
      <c r="L15" s="86"/>
      <c r="M15" s="152">
        <v>3</v>
      </c>
      <c r="N15" s="152" t="s">
        <v>901</v>
      </c>
      <c r="O15" s="153" t="str">
        <f t="shared" si="1"/>
        <v>111-112</v>
      </c>
      <c r="P15" s="152" t="s">
        <v>286</v>
      </c>
    </row>
    <row r="16" spans="1:16" hidden="1" x14ac:dyDescent="0.35">
      <c r="A16" s="34" t="s">
        <v>22</v>
      </c>
      <c r="B16" s="86" t="s">
        <v>23</v>
      </c>
      <c r="C16" s="86">
        <v>2</v>
      </c>
      <c r="D16" s="86">
        <v>2</v>
      </c>
      <c r="E16" s="35">
        <v>44481</v>
      </c>
      <c r="F16" s="150">
        <v>0.47222222222222227</v>
      </c>
      <c r="G16" s="32" t="b">
        <v>0</v>
      </c>
      <c r="H16" s="86">
        <v>27</v>
      </c>
      <c r="I16" s="86"/>
      <c r="J16" s="86"/>
      <c r="K16" s="86"/>
      <c r="L16" s="86"/>
      <c r="M16" s="86"/>
      <c r="N16" s="86"/>
      <c r="O16" s="86" t="str">
        <f t="shared" si="1"/>
        <v>27-28</v>
      </c>
      <c r="P16" s="86" t="s">
        <v>285</v>
      </c>
    </row>
    <row r="17" spans="1:16" hidden="1" x14ac:dyDescent="0.35">
      <c r="A17" s="34" t="s">
        <v>22</v>
      </c>
      <c r="B17" s="86" t="s">
        <v>23</v>
      </c>
      <c r="C17" s="86">
        <v>2</v>
      </c>
      <c r="D17" s="86">
        <v>2</v>
      </c>
      <c r="E17" s="35">
        <v>44481</v>
      </c>
      <c r="F17" s="150">
        <v>0.47222222222222227</v>
      </c>
      <c r="G17" s="32" t="b">
        <v>0</v>
      </c>
      <c r="H17" s="86">
        <v>29</v>
      </c>
      <c r="I17" s="86"/>
      <c r="J17" s="86"/>
      <c r="K17" s="86"/>
      <c r="L17" s="86"/>
      <c r="M17" s="86"/>
      <c r="N17" s="86"/>
      <c r="O17" s="86" t="str">
        <f t="shared" si="1"/>
        <v>29-30</v>
      </c>
      <c r="P17" s="86" t="s">
        <v>286</v>
      </c>
    </row>
    <row r="18" spans="1:16" ht="18.5" x14ac:dyDescent="0.45">
      <c r="A18" s="34" t="s">
        <v>22</v>
      </c>
      <c r="B18" s="86" t="s">
        <v>23</v>
      </c>
      <c r="C18" s="86">
        <v>2</v>
      </c>
      <c r="D18" s="86">
        <v>2</v>
      </c>
      <c r="E18" s="35">
        <v>44481</v>
      </c>
      <c r="F18" s="150">
        <v>0.34375</v>
      </c>
      <c r="G18" s="32" t="b">
        <v>0</v>
      </c>
      <c r="H18" s="86">
        <v>19</v>
      </c>
      <c r="I18" s="86" t="s">
        <v>302</v>
      </c>
      <c r="J18" s="86"/>
      <c r="K18" s="86"/>
      <c r="L18" s="86"/>
      <c r="M18" s="152">
        <v>4</v>
      </c>
      <c r="N18" s="152" t="s">
        <v>901</v>
      </c>
      <c r="O18" s="153" t="str">
        <f t="shared" si="1"/>
        <v>19-20</v>
      </c>
      <c r="P18" s="152" t="s">
        <v>286</v>
      </c>
    </row>
    <row r="19" spans="1:16" hidden="1" x14ac:dyDescent="0.35">
      <c r="A19" s="34" t="s">
        <v>22</v>
      </c>
      <c r="B19" s="86" t="s">
        <v>23</v>
      </c>
      <c r="C19" s="86">
        <v>2</v>
      </c>
      <c r="D19" s="86">
        <v>2</v>
      </c>
      <c r="E19" s="35">
        <v>44481</v>
      </c>
      <c r="F19" s="150">
        <v>0.47222222222222227</v>
      </c>
      <c r="G19" s="32" t="b">
        <v>0</v>
      </c>
      <c r="H19" s="86">
        <v>37</v>
      </c>
      <c r="I19" s="86"/>
      <c r="J19" s="86"/>
      <c r="K19" s="86"/>
      <c r="L19" s="86"/>
      <c r="M19" s="86"/>
      <c r="N19" s="86"/>
      <c r="O19" s="86" t="str">
        <f t="shared" si="1"/>
        <v>37-38</v>
      </c>
      <c r="P19" s="86" t="s">
        <v>288</v>
      </c>
    </row>
    <row r="20" spans="1:16" hidden="1" x14ac:dyDescent="0.35">
      <c r="A20" s="34" t="s">
        <v>22</v>
      </c>
      <c r="B20" s="86" t="s">
        <v>23</v>
      </c>
      <c r="C20" s="86">
        <v>2</v>
      </c>
      <c r="D20" s="86">
        <v>3</v>
      </c>
      <c r="E20" s="35">
        <v>44481</v>
      </c>
      <c r="F20" s="150">
        <v>0.47222222222222227</v>
      </c>
      <c r="G20" s="32" t="b">
        <v>0</v>
      </c>
      <c r="H20" s="86">
        <v>39</v>
      </c>
      <c r="I20" s="86"/>
      <c r="J20" s="86"/>
      <c r="K20" s="86"/>
      <c r="L20" s="86"/>
      <c r="M20" s="86"/>
      <c r="N20" s="86"/>
      <c r="O20" s="86" t="str">
        <f t="shared" si="1"/>
        <v>39-40</v>
      </c>
      <c r="P20" s="86" t="s">
        <v>285</v>
      </c>
    </row>
    <row r="21" spans="1:16" ht="18.5" x14ac:dyDescent="0.45">
      <c r="A21" s="34" t="s">
        <v>22</v>
      </c>
      <c r="B21" s="86" t="s">
        <v>23</v>
      </c>
      <c r="C21" s="86">
        <v>2</v>
      </c>
      <c r="D21" s="86">
        <v>3</v>
      </c>
      <c r="E21" s="35">
        <v>44483</v>
      </c>
      <c r="F21" s="150">
        <v>0.42708333333333331</v>
      </c>
      <c r="G21" s="32" t="b">
        <v>0</v>
      </c>
      <c r="H21" s="86">
        <v>139</v>
      </c>
      <c r="I21" s="86" t="s">
        <v>302</v>
      </c>
      <c r="J21" s="86"/>
      <c r="K21" s="86"/>
      <c r="L21" s="86"/>
      <c r="M21" s="152">
        <v>5</v>
      </c>
      <c r="N21" s="152" t="s">
        <v>901</v>
      </c>
      <c r="O21" s="153" t="str">
        <f t="shared" si="1"/>
        <v>139-140</v>
      </c>
      <c r="P21" s="152" t="s">
        <v>285</v>
      </c>
    </row>
    <row r="22" spans="1:16" hidden="1" x14ac:dyDescent="0.35">
      <c r="A22" s="34" t="s">
        <v>22</v>
      </c>
      <c r="B22" s="86" t="s">
        <v>23</v>
      </c>
      <c r="C22" s="86">
        <v>2</v>
      </c>
      <c r="D22" s="86">
        <v>3</v>
      </c>
      <c r="E22" s="35">
        <v>44482</v>
      </c>
      <c r="F22" s="150">
        <v>0.38541666666666669</v>
      </c>
      <c r="G22" s="32" t="b">
        <v>0</v>
      </c>
      <c r="H22" s="86">
        <v>47</v>
      </c>
      <c r="I22" s="86"/>
      <c r="J22" s="86"/>
      <c r="K22" s="86"/>
      <c r="L22" s="86"/>
      <c r="M22" s="86"/>
      <c r="N22" s="86"/>
      <c r="O22" s="86" t="str">
        <f t="shared" si="1"/>
        <v>47-48</v>
      </c>
      <c r="P22" s="86" t="s">
        <v>287</v>
      </c>
    </row>
    <row r="23" spans="1:16" hidden="1" x14ac:dyDescent="0.35">
      <c r="A23" s="34" t="s">
        <v>22</v>
      </c>
      <c r="B23" s="86" t="s">
        <v>23</v>
      </c>
      <c r="C23" s="86">
        <v>2</v>
      </c>
      <c r="D23" s="86"/>
      <c r="E23" s="35">
        <v>44482</v>
      </c>
      <c r="F23" s="150">
        <v>0.38541666666666669</v>
      </c>
      <c r="G23" s="32" t="b">
        <v>0</v>
      </c>
      <c r="H23" s="86">
        <v>53</v>
      </c>
      <c r="I23" s="86"/>
      <c r="J23" s="86"/>
      <c r="K23" s="86"/>
      <c r="L23" s="86"/>
      <c r="M23" s="86"/>
      <c r="N23" s="86"/>
      <c r="O23" s="86" t="str">
        <f t="shared" si="1"/>
        <v>53-54</v>
      </c>
      <c r="P23" s="86" t="s">
        <v>285</v>
      </c>
    </row>
    <row r="24" spans="1:16" hidden="1" x14ac:dyDescent="0.35">
      <c r="A24" s="34" t="s">
        <v>22</v>
      </c>
      <c r="B24" s="86" t="s">
        <v>23</v>
      </c>
      <c r="C24" s="86">
        <v>2</v>
      </c>
      <c r="D24" s="86"/>
      <c r="E24" s="35">
        <v>44482</v>
      </c>
      <c r="F24" s="150">
        <v>0.38541666666666669</v>
      </c>
      <c r="G24" s="32" t="b">
        <v>0</v>
      </c>
      <c r="H24" s="86">
        <v>55</v>
      </c>
      <c r="I24" s="86"/>
      <c r="J24" s="86"/>
      <c r="K24" s="86"/>
      <c r="L24" s="86"/>
      <c r="M24" s="86"/>
      <c r="N24" s="86"/>
      <c r="O24" s="86" t="str">
        <f t="shared" si="1"/>
        <v>55-56</v>
      </c>
      <c r="P24" s="86" t="s">
        <v>286</v>
      </c>
    </row>
    <row r="25" spans="1:16" ht="18.5" x14ac:dyDescent="0.45">
      <c r="A25" s="34" t="s">
        <v>22</v>
      </c>
      <c r="B25" s="86" t="s">
        <v>23</v>
      </c>
      <c r="C25" s="86">
        <v>2</v>
      </c>
      <c r="D25" s="86">
        <v>4</v>
      </c>
      <c r="E25" s="35">
        <v>44483</v>
      </c>
      <c r="F25" s="150">
        <v>0.42708333333333331</v>
      </c>
      <c r="G25" s="32" t="b">
        <v>0</v>
      </c>
      <c r="H25" s="86">
        <v>127</v>
      </c>
      <c r="I25" s="86" t="s">
        <v>302</v>
      </c>
      <c r="J25" s="86"/>
      <c r="K25" s="86"/>
      <c r="L25" s="86"/>
      <c r="M25" s="152">
        <v>6</v>
      </c>
      <c r="N25" s="152" t="s">
        <v>901</v>
      </c>
      <c r="O25" s="153" t="str">
        <f t="shared" si="1"/>
        <v>127-128</v>
      </c>
      <c r="P25" s="152" t="s">
        <v>285</v>
      </c>
    </row>
    <row r="26" spans="1:16" hidden="1" x14ac:dyDescent="0.35">
      <c r="A26" s="34" t="s">
        <v>22</v>
      </c>
      <c r="B26" s="86" t="s">
        <v>23</v>
      </c>
      <c r="C26" s="86">
        <v>2</v>
      </c>
      <c r="D26" s="86">
        <v>4</v>
      </c>
      <c r="E26" s="35">
        <v>44482</v>
      </c>
      <c r="F26" s="150">
        <v>0.38541666666666669</v>
      </c>
      <c r="G26" s="32" t="b">
        <v>0</v>
      </c>
      <c r="H26" s="86">
        <v>67</v>
      </c>
      <c r="I26" s="86"/>
      <c r="J26" s="86"/>
      <c r="K26" s="86"/>
      <c r="L26" s="86"/>
      <c r="M26" s="86"/>
      <c r="N26" s="86"/>
      <c r="O26" s="86" t="str">
        <f t="shared" si="1"/>
        <v>67-68</v>
      </c>
      <c r="P26" s="86" t="s">
        <v>286</v>
      </c>
    </row>
    <row r="27" spans="1:16" hidden="1" x14ac:dyDescent="0.35">
      <c r="A27" s="34" t="s">
        <v>22</v>
      </c>
      <c r="B27" s="86" t="s">
        <v>23</v>
      </c>
      <c r="C27" s="86">
        <v>2</v>
      </c>
      <c r="D27" s="86">
        <v>4</v>
      </c>
      <c r="E27" s="35">
        <v>44482</v>
      </c>
      <c r="F27" s="150">
        <v>0.38541666666666669</v>
      </c>
      <c r="G27" s="32" t="b">
        <v>0</v>
      </c>
      <c r="H27" s="86">
        <v>71</v>
      </c>
      <c r="I27" s="86"/>
      <c r="J27" s="86"/>
      <c r="K27" s="86"/>
      <c r="L27" s="86"/>
      <c r="M27" s="86"/>
      <c r="N27" s="86"/>
      <c r="O27" s="86" t="str">
        <f t="shared" si="1"/>
        <v>71-72</v>
      </c>
      <c r="P27" s="86" t="s">
        <v>287</v>
      </c>
    </row>
    <row r="28" spans="1:16" hidden="1" x14ac:dyDescent="0.35">
      <c r="A28" s="34" t="s">
        <v>22</v>
      </c>
      <c r="B28" s="86" t="s">
        <v>23</v>
      </c>
      <c r="C28" s="86">
        <v>2</v>
      </c>
      <c r="D28" s="86">
        <v>5</v>
      </c>
      <c r="E28" s="35">
        <v>44482</v>
      </c>
      <c r="F28" s="150">
        <v>0.51041666666666663</v>
      </c>
      <c r="G28" s="32" t="b">
        <v>0</v>
      </c>
      <c r="H28" s="86">
        <v>75</v>
      </c>
      <c r="I28" s="86"/>
      <c r="J28" s="86"/>
      <c r="K28" s="86"/>
      <c r="L28" s="86"/>
      <c r="M28" s="86"/>
      <c r="N28" s="86"/>
      <c r="O28" s="86" t="str">
        <f t="shared" si="1"/>
        <v>75-76</v>
      </c>
      <c r="P28" s="86" t="s">
        <v>288</v>
      </c>
    </row>
    <row r="29" spans="1:16" hidden="1" x14ac:dyDescent="0.35">
      <c r="A29" s="34" t="s">
        <v>22</v>
      </c>
      <c r="B29" s="86" t="s">
        <v>23</v>
      </c>
      <c r="C29" s="86">
        <v>2</v>
      </c>
      <c r="D29" s="86">
        <v>5</v>
      </c>
      <c r="E29" s="35">
        <v>44482</v>
      </c>
      <c r="F29" s="150">
        <v>0.51041666666666663</v>
      </c>
      <c r="G29" s="32" t="b">
        <v>0</v>
      </c>
      <c r="H29" s="86">
        <v>79</v>
      </c>
      <c r="I29" s="86"/>
      <c r="J29" s="86"/>
      <c r="K29" s="86"/>
      <c r="L29" s="86"/>
      <c r="M29" s="86"/>
      <c r="N29" s="86"/>
      <c r="O29" s="86" t="str">
        <f t="shared" si="1"/>
        <v>79-80</v>
      </c>
      <c r="P29" s="86" t="s">
        <v>285</v>
      </c>
    </row>
    <row r="30" spans="1:16" ht="18.5" x14ac:dyDescent="0.45">
      <c r="A30" s="34" t="s">
        <v>22</v>
      </c>
      <c r="B30" s="86" t="s">
        <v>23</v>
      </c>
      <c r="C30" s="86">
        <v>2</v>
      </c>
      <c r="D30" s="86">
        <v>5</v>
      </c>
      <c r="E30" s="35">
        <v>44483</v>
      </c>
      <c r="F30" s="150">
        <v>0.4375</v>
      </c>
      <c r="G30" s="32" t="b">
        <v>0</v>
      </c>
      <c r="H30" s="86">
        <v>109</v>
      </c>
      <c r="I30" s="86" t="s">
        <v>302</v>
      </c>
      <c r="J30" s="86"/>
      <c r="K30" s="86"/>
      <c r="L30" s="86" t="s">
        <v>278</v>
      </c>
      <c r="M30" s="152">
        <v>7</v>
      </c>
      <c r="N30" s="152" t="s">
        <v>901</v>
      </c>
      <c r="O30" s="153" t="str">
        <f t="shared" si="1"/>
        <v>109-110</v>
      </c>
      <c r="P30" s="152" t="s">
        <v>285</v>
      </c>
    </row>
    <row r="31" spans="1:16" ht="18.5" x14ac:dyDescent="0.45">
      <c r="A31" s="34" t="s">
        <v>22</v>
      </c>
      <c r="B31" s="86" t="s">
        <v>23</v>
      </c>
      <c r="C31" s="86">
        <v>2</v>
      </c>
      <c r="D31" s="86">
        <v>5</v>
      </c>
      <c r="E31" s="35">
        <v>44483</v>
      </c>
      <c r="F31" s="150">
        <v>0.34375</v>
      </c>
      <c r="G31" s="32" t="b">
        <v>0</v>
      </c>
      <c r="H31" s="86">
        <v>93</v>
      </c>
      <c r="I31" s="86" t="s">
        <v>302</v>
      </c>
      <c r="J31" s="86"/>
      <c r="K31" s="86"/>
      <c r="L31" s="86"/>
      <c r="M31" s="152">
        <v>8</v>
      </c>
      <c r="N31" s="152" t="s">
        <v>901</v>
      </c>
      <c r="O31" s="153" t="str">
        <f t="shared" si="1"/>
        <v>93-94</v>
      </c>
      <c r="P31" s="152" t="s">
        <v>285</v>
      </c>
    </row>
    <row r="32" spans="1:16" hidden="1" x14ac:dyDescent="0.35">
      <c r="A32" s="34" t="s">
        <v>22</v>
      </c>
      <c r="B32" s="86" t="s">
        <v>23</v>
      </c>
      <c r="C32" s="86">
        <v>2</v>
      </c>
      <c r="D32" s="86">
        <v>6</v>
      </c>
      <c r="E32" s="35">
        <v>44482</v>
      </c>
      <c r="F32" s="150">
        <v>0.51041666666666663</v>
      </c>
      <c r="G32" s="32" t="b">
        <v>0</v>
      </c>
      <c r="H32" s="86">
        <v>91</v>
      </c>
      <c r="I32" s="86"/>
      <c r="J32" s="86"/>
      <c r="K32" s="86"/>
      <c r="L32" s="86"/>
      <c r="M32" s="86"/>
      <c r="N32" s="86"/>
      <c r="O32" s="86" t="str">
        <f t="shared" si="1"/>
        <v>91-92</v>
      </c>
      <c r="P32" s="86" t="s">
        <v>288</v>
      </c>
    </row>
    <row r="33" spans="1:16" ht="18.5" x14ac:dyDescent="0.45">
      <c r="A33" s="34" t="s">
        <v>22</v>
      </c>
      <c r="B33" s="86" t="s">
        <v>23</v>
      </c>
      <c r="C33" s="86">
        <v>2</v>
      </c>
      <c r="D33" s="86">
        <v>6</v>
      </c>
      <c r="E33" s="35">
        <v>44482</v>
      </c>
      <c r="F33" s="150">
        <v>0.51041666666666663</v>
      </c>
      <c r="G33" s="32" t="b">
        <v>0</v>
      </c>
      <c r="H33" s="86">
        <v>87</v>
      </c>
      <c r="I33" s="86" t="s">
        <v>302</v>
      </c>
      <c r="J33" s="86"/>
      <c r="K33" s="86"/>
      <c r="L33" s="86"/>
      <c r="M33" s="152">
        <v>9</v>
      </c>
      <c r="N33" s="152" t="s">
        <v>901</v>
      </c>
      <c r="O33" s="153" t="str">
        <f t="shared" si="1"/>
        <v>87-88</v>
      </c>
      <c r="P33" s="152" t="s">
        <v>287</v>
      </c>
    </row>
    <row r="34" spans="1:16" ht="18.5" x14ac:dyDescent="0.45">
      <c r="A34" s="34" t="s">
        <v>22</v>
      </c>
      <c r="B34" s="86" t="s">
        <v>23</v>
      </c>
      <c r="C34" s="86">
        <v>2</v>
      </c>
      <c r="D34" s="86">
        <v>6</v>
      </c>
      <c r="E34" s="35">
        <v>44481</v>
      </c>
      <c r="F34" s="150">
        <v>0.47222222222222227</v>
      </c>
      <c r="G34" s="32" t="b">
        <v>0</v>
      </c>
      <c r="H34" s="86">
        <v>33</v>
      </c>
      <c r="I34" s="86" t="s">
        <v>302</v>
      </c>
      <c r="J34" s="86"/>
      <c r="K34" s="86"/>
      <c r="L34" s="86"/>
      <c r="M34" s="152">
        <v>10</v>
      </c>
      <c r="N34" s="152" t="s">
        <v>901</v>
      </c>
      <c r="O34" s="153" t="str">
        <f t="shared" si="1"/>
        <v>33-34</v>
      </c>
      <c r="P34" s="152" t="s">
        <v>287</v>
      </c>
    </row>
    <row r="35" spans="1:16" hidden="1" x14ac:dyDescent="0.35">
      <c r="A35" s="34" t="s">
        <v>22</v>
      </c>
      <c r="B35" s="86" t="s">
        <v>23</v>
      </c>
      <c r="C35" s="86">
        <v>2</v>
      </c>
      <c r="D35" s="86">
        <v>7</v>
      </c>
      <c r="E35" s="35">
        <v>44483</v>
      </c>
      <c r="F35" s="150">
        <v>0.34375</v>
      </c>
      <c r="G35" s="32" t="b">
        <v>0</v>
      </c>
      <c r="H35" s="86">
        <v>103</v>
      </c>
      <c r="I35" s="86"/>
      <c r="J35" s="86"/>
      <c r="K35" s="86"/>
      <c r="L35" s="86"/>
      <c r="M35" s="86"/>
      <c r="N35" s="86"/>
      <c r="O35" s="86" t="str">
        <f t="shared" si="1"/>
        <v>103-104</v>
      </c>
      <c r="P35" s="86" t="s">
        <v>287</v>
      </c>
    </row>
    <row r="36" spans="1:16" ht="18.5" x14ac:dyDescent="0.45">
      <c r="A36" s="34" t="s">
        <v>22</v>
      </c>
      <c r="B36" s="86" t="s">
        <v>23</v>
      </c>
      <c r="C36" s="86">
        <v>2</v>
      </c>
      <c r="D36" s="86">
        <v>7</v>
      </c>
      <c r="E36" s="35">
        <v>44483</v>
      </c>
      <c r="F36" s="150">
        <v>0.34375</v>
      </c>
      <c r="G36" s="32" t="b">
        <v>0</v>
      </c>
      <c r="H36" s="86">
        <v>99</v>
      </c>
      <c r="I36" s="86" t="s">
        <v>302</v>
      </c>
      <c r="J36" s="86"/>
      <c r="K36" s="86"/>
      <c r="L36" s="86"/>
      <c r="M36" s="152">
        <v>11</v>
      </c>
      <c r="N36" s="152" t="s">
        <v>901</v>
      </c>
      <c r="O36" s="153" t="str">
        <f t="shared" si="1"/>
        <v>99-100</v>
      </c>
      <c r="P36" s="152" t="s">
        <v>287</v>
      </c>
    </row>
    <row r="37" spans="1:16" ht="18.5" x14ac:dyDescent="0.45">
      <c r="A37" s="34" t="s">
        <v>22</v>
      </c>
      <c r="B37" s="86" t="s">
        <v>23</v>
      </c>
      <c r="C37" s="86">
        <v>2</v>
      </c>
      <c r="D37" s="86">
        <v>7</v>
      </c>
      <c r="E37" s="35">
        <v>44482</v>
      </c>
      <c r="F37" s="150">
        <v>0.38541666666666669</v>
      </c>
      <c r="G37" s="32" t="b">
        <v>0</v>
      </c>
      <c r="H37" s="86">
        <v>23</v>
      </c>
      <c r="I37" s="86" t="s">
        <v>302</v>
      </c>
      <c r="J37" s="86"/>
      <c r="K37" s="86"/>
      <c r="L37" s="86"/>
      <c r="M37" s="152">
        <v>12</v>
      </c>
      <c r="N37" s="152" t="s">
        <v>901</v>
      </c>
      <c r="O37" s="153" t="str">
        <f t="shared" si="1"/>
        <v>23-24</v>
      </c>
      <c r="P37" s="152" t="s">
        <v>287</v>
      </c>
    </row>
    <row r="38" spans="1:16" ht="18.5" x14ac:dyDescent="0.45">
      <c r="A38" s="34" t="s">
        <v>22</v>
      </c>
      <c r="B38" s="86" t="s">
        <v>23</v>
      </c>
      <c r="C38" s="86">
        <v>2</v>
      </c>
      <c r="D38" s="86">
        <v>7</v>
      </c>
      <c r="E38" s="35">
        <v>44481</v>
      </c>
      <c r="F38" s="150">
        <v>0.47222222222222227</v>
      </c>
      <c r="G38" s="32" t="b">
        <v>0</v>
      </c>
      <c r="H38" s="86">
        <v>25</v>
      </c>
      <c r="I38" s="86" t="s">
        <v>302</v>
      </c>
      <c r="J38" s="86"/>
      <c r="K38" s="86"/>
      <c r="L38" s="86"/>
      <c r="M38" s="152">
        <v>13</v>
      </c>
      <c r="N38" s="152" t="s">
        <v>901</v>
      </c>
      <c r="O38" s="153" t="str">
        <f t="shared" si="1"/>
        <v>25-26</v>
      </c>
      <c r="P38" s="152" t="s">
        <v>288</v>
      </c>
    </row>
    <row r="39" spans="1:16" hidden="1" x14ac:dyDescent="0.35">
      <c r="A39" s="34"/>
      <c r="B39" s="86" t="s">
        <v>27</v>
      </c>
      <c r="C39" s="86"/>
      <c r="D39" s="86">
        <v>4</v>
      </c>
      <c r="E39" s="35"/>
      <c r="F39" s="150"/>
      <c r="G39" s="32" t="b">
        <v>0</v>
      </c>
      <c r="H39" s="86">
        <v>113</v>
      </c>
      <c r="I39" s="86"/>
      <c r="J39" s="86"/>
      <c r="K39" s="86" t="s">
        <v>98</v>
      </c>
      <c r="L39" s="86" t="s">
        <v>233</v>
      </c>
      <c r="M39" s="86"/>
      <c r="N39" s="86"/>
      <c r="O39" s="86" t="str">
        <f t="shared" si="1"/>
        <v>113-114</v>
      </c>
      <c r="P39" s="86" t="s">
        <v>287</v>
      </c>
    </row>
    <row r="40" spans="1:16" hidden="1" x14ac:dyDescent="0.35">
      <c r="A40" s="34" t="s">
        <v>22</v>
      </c>
      <c r="B40" s="86" t="s">
        <v>23</v>
      </c>
      <c r="C40" s="86">
        <v>2</v>
      </c>
      <c r="D40" s="86">
        <v>8</v>
      </c>
      <c r="E40" s="35">
        <v>44483</v>
      </c>
      <c r="F40" s="150">
        <v>0.4375</v>
      </c>
      <c r="G40" s="32" t="b">
        <v>0</v>
      </c>
      <c r="H40" s="86">
        <v>115</v>
      </c>
      <c r="I40" s="86"/>
      <c r="J40" s="86"/>
      <c r="K40" s="86"/>
      <c r="L40" s="86"/>
      <c r="M40" s="86"/>
      <c r="N40" s="86"/>
      <c r="O40" s="86" t="str">
        <f t="shared" si="1"/>
        <v>115-116</v>
      </c>
      <c r="P40" s="86" t="s">
        <v>287</v>
      </c>
    </row>
    <row r="41" spans="1:16" hidden="1" x14ac:dyDescent="0.35">
      <c r="A41" s="34" t="s">
        <v>22</v>
      </c>
      <c r="B41" s="86" t="s">
        <v>23</v>
      </c>
      <c r="C41" s="86">
        <v>2</v>
      </c>
      <c r="D41" s="86">
        <v>8</v>
      </c>
      <c r="E41" s="35">
        <v>44483</v>
      </c>
      <c r="F41" s="150">
        <v>0.42708333333333331</v>
      </c>
      <c r="G41" s="32" t="b">
        <v>0</v>
      </c>
      <c r="H41" s="86">
        <v>119</v>
      </c>
      <c r="I41" s="86"/>
      <c r="J41" s="86"/>
      <c r="K41" s="86"/>
      <c r="L41" s="86"/>
      <c r="M41" s="86"/>
      <c r="N41" s="86"/>
      <c r="O41" s="86" t="str">
        <f t="shared" si="1"/>
        <v>119-120</v>
      </c>
      <c r="P41" s="86" t="s">
        <v>288</v>
      </c>
    </row>
    <row r="42" spans="1:16" ht="18.5" x14ac:dyDescent="0.45">
      <c r="A42" s="34" t="s">
        <v>22</v>
      </c>
      <c r="B42" s="86" t="s">
        <v>23</v>
      </c>
      <c r="C42" s="86">
        <v>2</v>
      </c>
      <c r="D42" s="86">
        <v>8</v>
      </c>
      <c r="E42" s="35">
        <v>44483</v>
      </c>
      <c r="F42" s="150">
        <v>0.34375</v>
      </c>
      <c r="G42" s="32" t="b">
        <v>0</v>
      </c>
      <c r="H42" s="86">
        <v>105</v>
      </c>
      <c r="I42" s="86" t="s">
        <v>302</v>
      </c>
      <c r="J42" s="86"/>
      <c r="K42" s="86"/>
      <c r="L42" s="86"/>
      <c r="M42" s="152">
        <v>14</v>
      </c>
      <c r="N42" s="152" t="s">
        <v>901</v>
      </c>
      <c r="O42" s="153" t="str">
        <f t="shared" si="1"/>
        <v>105-106</v>
      </c>
      <c r="P42" s="152" t="s">
        <v>288</v>
      </c>
    </row>
    <row r="43" spans="1:16" ht="18.5" x14ac:dyDescent="0.45">
      <c r="A43" s="34" t="s">
        <v>22</v>
      </c>
      <c r="B43" s="86" t="s">
        <v>23</v>
      </c>
      <c r="C43" s="86">
        <v>2</v>
      </c>
      <c r="D43" s="86">
        <v>8</v>
      </c>
      <c r="E43" s="35">
        <v>44481</v>
      </c>
      <c r="F43" s="150">
        <v>0.47222222222222227</v>
      </c>
      <c r="G43" s="32" t="b">
        <v>0</v>
      </c>
      <c r="H43" s="86">
        <v>41</v>
      </c>
      <c r="I43" s="86" t="s">
        <v>302</v>
      </c>
      <c r="J43" s="86"/>
      <c r="K43" s="86"/>
      <c r="L43" s="86"/>
      <c r="M43" s="152">
        <v>15</v>
      </c>
      <c r="N43" s="152" t="s">
        <v>901</v>
      </c>
      <c r="O43" s="153" t="str">
        <f t="shared" si="1"/>
        <v>41-42</v>
      </c>
      <c r="P43" s="152" t="s">
        <v>288</v>
      </c>
    </row>
    <row r="44" spans="1:16" hidden="1" x14ac:dyDescent="0.35">
      <c r="A44" s="34" t="s">
        <v>22</v>
      </c>
      <c r="B44" s="86" t="s">
        <v>23</v>
      </c>
      <c r="C44" s="86">
        <v>1</v>
      </c>
      <c r="D44" s="86">
        <v>3</v>
      </c>
      <c r="E44" s="35">
        <v>44466</v>
      </c>
      <c r="F44" s="150"/>
      <c r="G44" s="32" t="b">
        <v>0</v>
      </c>
      <c r="H44" s="86">
        <v>135</v>
      </c>
      <c r="I44" s="86"/>
      <c r="J44" s="86"/>
      <c r="K44" s="86"/>
      <c r="L44" s="86"/>
      <c r="M44" s="86"/>
      <c r="N44" s="86"/>
      <c r="O44" s="86"/>
      <c r="P44" s="86" t="s">
        <v>285</v>
      </c>
    </row>
    <row r="45" spans="1:16" hidden="1" x14ac:dyDescent="0.35">
      <c r="A45" s="34" t="s">
        <v>22</v>
      </c>
      <c r="B45" s="86" t="s">
        <v>23</v>
      </c>
      <c r="C45" s="86">
        <v>1</v>
      </c>
      <c r="D45" s="86">
        <v>3</v>
      </c>
      <c r="E45" s="35">
        <v>44466</v>
      </c>
      <c r="F45" s="150"/>
      <c r="G45" s="32" t="b">
        <v>1</v>
      </c>
      <c r="H45" s="86">
        <v>136</v>
      </c>
      <c r="I45" s="86"/>
      <c r="J45" s="86"/>
      <c r="K45" s="86"/>
      <c r="L45" s="86"/>
      <c r="M45" s="86"/>
      <c r="N45" s="86"/>
      <c r="O45" s="86"/>
      <c r="P45" s="86" t="s">
        <v>285</v>
      </c>
    </row>
    <row r="46" spans="1:16" hidden="1" x14ac:dyDescent="0.35">
      <c r="A46" s="34" t="s">
        <v>22</v>
      </c>
      <c r="B46" s="86" t="s">
        <v>23</v>
      </c>
      <c r="C46" s="86">
        <v>2</v>
      </c>
      <c r="D46" s="86">
        <v>3</v>
      </c>
      <c r="E46" s="35">
        <v>44483</v>
      </c>
      <c r="F46" s="150">
        <v>0.42708333333333331</v>
      </c>
      <c r="G46" s="32" t="b">
        <v>0</v>
      </c>
      <c r="H46" s="86">
        <v>137</v>
      </c>
      <c r="I46" s="86"/>
      <c r="J46" s="86"/>
      <c r="K46" s="86"/>
      <c r="L46" s="86"/>
      <c r="M46" s="86"/>
      <c r="N46" s="86"/>
      <c r="O46" s="86" t="str">
        <f>H46&amp;"-"&amp;H46+1</f>
        <v>137-138</v>
      </c>
      <c r="P46" s="86" t="s">
        <v>286</v>
      </c>
    </row>
    <row r="47" spans="1:16" ht="18.5" x14ac:dyDescent="0.45">
      <c r="A47" s="34" t="s">
        <v>22</v>
      </c>
      <c r="B47" s="86" t="s">
        <v>27</v>
      </c>
      <c r="C47" s="86">
        <v>2</v>
      </c>
      <c r="D47" s="86">
        <v>3</v>
      </c>
      <c r="E47" s="35">
        <v>44481</v>
      </c>
      <c r="F47" s="150">
        <v>0.34375</v>
      </c>
      <c r="G47" s="32" t="b">
        <v>0</v>
      </c>
      <c r="H47" s="86">
        <v>61</v>
      </c>
      <c r="I47" s="86" t="s">
        <v>302</v>
      </c>
      <c r="J47" s="86"/>
      <c r="K47" s="86"/>
      <c r="L47" s="86"/>
      <c r="M47" s="152">
        <v>16</v>
      </c>
      <c r="N47" s="152" t="s">
        <v>901</v>
      </c>
      <c r="O47" s="153" t="str">
        <f>H47&amp;"-"&amp;H47+1</f>
        <v>61-62</v>
      </c>
      <c r="P47" s="152" t="s">
        <v>288</v>
      </c>
    </row>
    <row r="48" spans="1:16" hidden="1" x14ac:dyDescent="0.35">
      <c r="A48" s="34" t="s">
        <v>22</v>
      </c>
      <c r="B48" s="86" t="s">
        <v>23</v>
      </c>
      <c r="C48" s="86">
        <v>1</v>
      </c>
      <c r="D48" s="86">
        <v>3</v>
      </c>
      <c r="E48" s="35">
        <v>44466</v>
      </c>
      <c r="F48" s="150"/>
      <c r="G48" s="32" t="b">
        <v>0</v>
      </c>
      <c r="H48" s="86">
        <v>141</v>
      </c>
      <c r="I48" s="86"/>
      <c r="J48" s="86"/>
      <c r="K48" s="86"/>
      <c r="L48" s="86"/>
      <c r="M48" s="86"/>
      <c r="N48" s="86"/>
      <c r="O48" s="86"/>
      <c r="P48" s="86" t="s">
        <v>286</v>
      </c>
    </row>
    <row r="49" spans="1:16" hidden="1" x14ac:dyDescent="0.35">
      <c r="A49" s="34" t="s">
        <v>22</v>
      </c>
      <c r="B49" s="86" t="s">
        <v>23</v>
      </c>
      <c r="C49" s="86">
        <v>1</v>
      </c>
      <c r="D49" s="86">
        <v>3</v>
      </c>
      <c r="E49" s="35">
        <v>44466</v>
      </c>
      <c r="F49" s="150"/>
      <c r="G49" s="32" t="b">
        <v>1</v>
      </c>
      <c r="H49" s="86">
        <v>142</v>
      </c>
      <c r="I49" s="86"/>
      <c r="J49" s="86"/>
      <c r="K49" s="86"/>
      <c r="L49" s="86"/>
      <c r="M49" s="86"/>
      <c r="N49" s="86"/>
      <c r="O49" s="86"/>
      <c r="P49" s="86" t="s">
        <v>286</v>
      </c>
    </row>
    <row r="50" spans="1:16" hidden="1" x14ac:dyDescent="0.35">
      <c r="A50" s="34" t="s">
        <v>22</v>
      </c>
      <c r="B50" s="86" t="s">
        <v>23</v>
      </c>
      <c r="C50" s="86">
        <v>1</v>
      </c>
      <c r="D50" s="86">
        <v>1</v>
      </c>
      <c r="E50" s="35">
        <v>44466</v>
      </c>
      <c r="F50" s="150"/>
      <c r="G50" s="32" t="b">
        <v>0</v>
      </c>
      <c r="H50" s="86">
        <v>1001</v>
      </c>
      <c r="I50" s="86"/>
      <c r="J50" s="86"/>
      <c r="K50" s="86"/>
      <c r="L50" s="86" t="s">
        <v>119</v>
      </c>
      <c r="M50" s="86"/>
      <c r="N50" s="86"/>
      <c r="O50" s="86"/>
      <c r="P50" s="86" t="s">
        <v>285</v>
      </c>
    </row>
    <row r="51" spans="1:16" hidden="1" x14ac:dyDescent="0.35">
      <c r="A51" s="34" t="s">
        <v>22</v>
      </c>
      <c r="B51" s="86" t="s">
        <v>23</v>
      </c>
      <c r="C51" s="86">
        <v>1</v>
      </c>
      <c r="D51" s="86">
        <v>1</v>
      </c>
      <c r="E51" s="35">
        <v>44466</v>
      </c>
      <c r="F51" s="150"/>
      <c r="G51" s="32" t="b">
        <v>1</v>
      </c>
      <c r="H51" s="86">
        <v>1002</v>
      </c>
      <c r="I51" s="86"/>
      <c r="J51" s="86"/>
      <c r="K51" s="86"/>
      <c r="L51" s="86" t="s">
        <v>119</v>
      </c>
      <c r="M51" s="86"/>
      <c r="N51" s="86"/>
      <c r="O51" s="86"/>
      <c r="P51" s="86" t="s">
        <v>285</v>
      </c>
    </row>
    <row r="52" spans="1:16" hidden="1" x14ac:dyDescent="0.35">
      <c r="A52" s="34" t="s">
        <v>22</v>
      </c>
      <c r="B52" s="86" t="s">
        <v>23</v>
      </c>
      <c r="C52" s="86">
        <v>1</v>
      </c>
      <c r="D52" s="86">
        <v>1</v>
      </c>
      <c r="E52" s="35">
        <v>44466</v>
      </c>
      <c r="F52" s="150"/>
      <c r="G52" s="32" t="b">
        <v>0</v>
      </c>
      <c r="H52" s="86">
        <v>1007</v>
      </c>
      <c r="I52" s="86"/>
      <c r="J52" s="86"/>
      <c r="K52" s="86"/>
      <c r="L52" s="86"/>
      <c r="M52" s="86"/>
      <c r="N52" s="86"/>
      <c r="O52" s="86"/>
      <c r="P52" s="86" t="s">
        <v>286</v>
      </c>
    </row>
    <row r="53" spans="1:16" hidden="1" x14ac:dyDescent="0.35">
      <c r="A53" s="34" t="s">
        <v>22</v>
      </c>
      <c r="B53" s="86" t="s">
        <v>23</v>
      </c>
      <c r="C53" s="86">
        <v>1</v>
      </c>
      <c r="D53" s="86">
        <v>1</v>
      </c>
      <c r="E53" s="35">
        <v>44466</v>
      </c>
      <c r="F53" s="150"/>
      <c r="G53" s="32" t="b">
        <v>1</v>
      </c>
      <c r="H53" s="86">
        <v>1008</v>
      </c>
      <c r="I53" s="86"/>
      <c r="J53" s="86"/>
      <c r="K53" s="86"/>
      <c r="L53" s="86"/>
      <c r="M53" s="86"/>
      <c r="N53" s="86"/>
      <c r="O53" s="86"/>
      <c r="P53" s="86" t="s">
        <v>286</v>
      </c>
    </row>
    <row r="54" spans="1:16" hidden="1" x14ac:dyDescent="0.35">
      <c r="A54" s="34" t="s">
        <v>22</v>
      </c>
      <c r="B54" s="86" t="s">
        <v>23</v>
      </c>
      <c r="C54" s="86">
        <v>1</v>
      </c>
      <c r="D54" s="86">
        <v>2</v>
      </c>
      <c r="E54" s="35">
        <v>44466</v>
      </c>
      <c r="F54" s="150"/>
      <c r="G54" s="32" t="b">
        <v>0</v>
      </c>
      <c r="H54" s="86">
        <v>1011</v>
      </c>
      <c r="I54" s="86"/>
      <c r="J54" s="86"/>
      <c r="K54" s="86"/>
      <c r="L54" s="86"/>
      <c r="M54" s="86"/>
      <c r="N54" s="86"/>
      <c r="O54" s="86"/>
      <c r="P54" s="86" t="s">
        <v>286</v>
      </c>
    </row>
    <row r="55" spans="1:16" hidden="1" x14ac:dyDescent="0.35">
      <c r="A55" s="34" t="s">
        <v>22</v>
      </c>
      <c r="B55" s="86" t="s">
        <v>23</v>
      </c>
      <c r="C55" s="86">
        <v>1</v>
      </c>
      <c r="D55" s="86">
        <v>2</v>
      </c>
      <c r="E55" s="35">
        <v>44466</v>
      </c>
      <c r="F55" s="150"/>
      <c r="G55" s="32" t="b">
        <v>1</v>
      </c>
      <c r="H55" s="86">
        <v>1012</v>
      </c>
      <c r="I55" s="86"/>
      <c r="J55" s="86"/>
      <c r="K55" s="86"/>
      <c r="L55" s="86"/>
      <c r="M55" s="86"/>
      <c r="N55" s="86"/>
      <c r="O55" s="86"/>
      <c r="P55" s="86" t="s">
        <v>286</v>
      </c>
    </row>
    <row r="56" spans="1:16" hidden="1" x14ac:dyDescent="0.35">
      <c r="A56" s="34" t="s">
        <v>22</v>
      </c>
      <c r="B56" s="86" t="s">
        <v>23</v>
      </c>
      <c r="C56" s="86">
        <v>1</v>
      </c>
      <c r="D56" s="86">
        <v>2</v>
      </c>
      <c r="E56" s="35">
        <v>44466</v>
      </c>
      <c r="F56" s="150"/>
      <c r="G56" s="32" t="b">
        <v>0</v>
      </c>
      <c r="H56" s="86">
        <v>1013</v>
      </c>
      <c r="I56" s="86"/>
      <c r="J56" s="86"/>
      <c r="K56" s="86"/>
      <c r="L56" s="86"/>
      <c r="M56" s="86"/>
      <c r="N56" s="86"/>
      <c r="O56" s="86"/>
      <c r="P56" s="86" t="s">
        <v>285</v>
      </c>
    </row>
    <row r="57" spans="1:16" hidden="1" x14ac:dyDescent="0.35">
      <c r="A57" s="34" t="s">
        <v>22</v>
      </c>
      <c r="B57" s="86" t="s">
        <v>23</v>
      </c>
      <c r="C57" s="86">
        <v>1</v>
      </c>
      <c r="D57" s="86">
        <v>2</v>
      </c>
      <c r="E57" s="35">
        <v>44466</v>
      </c>
      <c r="F57" s="150"/>
      <c r="G57" s="32" t="b">
        <v>1</v>
      </c>
      <c r="H57" s="86">
        <v>1014</v>
      </c>
      <c r="I57" s="86"/>
      <c r="J57" s="86"/>
      <c r="K57" s="86"/>
      <c r="L57" s="86"/>
      <c r="M57" s="86"/>
      <c r="N57" s="86"/>
      <c r="O57" s="86"/>
      <c r="P57" s="86" t="s">
        <v>285</v>
      </c>
    </row>
    <row r="58" spans="1:16" ht="18.5" x14ac:dyDescent="0.45">
      <c r="A58" s="34" t="s">
        <v>22</v>
      </c>
      <c r="B58" s="86" t="s">
        <v>23</v>
      </c>
      <c r="C58" s="86">
        <v>2</v>
      </c>
      <c r="D58" s="86">
        <v>1</v>
      </c>
      <c r="E58" s="35">
        <v>44483</v>
      </c>
      <c r="F58" s="150">
        <v>0.5</v>
      </c>
      <c r="G58" s="32" t="b">
        <v>0</v>
      </c>
      <c r="H58" s="86">
        <v>1131</v>
      </c>
      <c r="I58" s="86" t="s">
        <v>302</v>
      </c>
      <c r="J58" s="86"/>
      <c r="K58" s="86"/>
      <c r="L58" s="86"/>
      <c r="M58" s="152">
        <v>17</v>
      </c>
      <c r="N58" s="152" t="s">
        <v>901</v>
      </c>
      <c r="O58" s="153" t="str">
        <f t="shared" ref="O58:O89" si="2">H58&amp;"-"&amp;H58+1</f>
        <v>1131-1132</v>
      </c>
      <c r="P58" s="152" t="s">
        <v>290</v>
      </c>
    </row>
    <row r="59" spans="1:16" hidden="1" x14ac:dyDescent="0.35">
      <c r="A59" s="34" t="s">
        <v>22</v>
      </c>
      <c r="B59" s="86" t="s">
        <v>23</v>
      </c>
      <c r="C59" s="86">
        <v>2</v>
      </c>
      <c r="D59" s="86">
        <v>1</v>
      </c>
      <c r="E59" s="35">
        <v>44481</v>
      </c>
      <c r="F59" s="150">
        <v>0.38541666666666669</v>
      </c>
      <c r="G59" s="32" t="b">
        <v>0</v>
      </c>
      <c r="H59" s="86">
        <v>1019</v>
      </c>
      <c r="I59" s="86"/>
      <c r="J59" s="86"/>
      <c r="K59" s="86"/>
      <c r="L59" s="86"/>
      <c r="M59" s="86"/>
      <c r="N59" s="86"/>
      <c r="O59" s="86" t="str">
        <f t="shared" si="2"/>
        <v>1019-1020</v>
      </c>
      <c r="P59" s="86" t="s">
        <v>290</v>
      </c>
    </row>
    <row r="60" spans="1:16" ht="18.5" x14ac:dyDescent="0.45">
      <c r="A60" s="34" t="s">
        <v>22</v>
      </c>
      <c r="B60" s="86" t="s">
        <v>23</v>
      </c>
      <c r="C60" s="86">
        <v>2</v>
      </c>
      <c r="D60" s="86">
        <v>1</v>
      </c>
      <c r="E60" s="35">
        <v>44483</v>
      </c>
      <c r="F60" s="150">
        <v>0.39583333333333331</v>
      </c>
      <c r="G60" s="32" t="b">
        <v>0</v>
      </c>
      <c r="H60" s="86">
        <v>1111</v>
      </c>
      <c r="I60" s="86" t="s">
        <v>302</v>
      </c>
      <c r="J60" s="86"/>
      <c r="K60" s="86"/>
      <c r="L60" s="86"/>
      <c r="M60" s="152">
        <v>18</v>
      </c>
      <c r="N60" s="152" t="s">
        <v>901</v>
      </c>
      <c r="O60" s="153" t="str">
        <f t="shared" si="2"/>
        <v>1111-1112</v>
      </c>
      <c r="P60" s="152" t="s">
        <v>290</v>
      </c>
    </row>
    <row r="61" spans="1:16" hidden="1" x14ac:dyDescent="0.35">
      <c r="A61" s="34" t="s">
        <v>22</v>
      </c>
      <c r="B61" s="86" t="s">
        <v>23</v>
      </c>
      <c r="C61" s="86">
        <v>2</v>
      </c>
      <c r="D61" s="86">
        <v>1</v>
      </c>
      <c r="E61" s="35">
        <v>44481</v>
      </c>
      <c r="F61" s="150">
        <v>0.38541666666666669</v>
      </c>
      <c r="G61" s="32" t="b">
        <v>0</v>
      </c>
      <c r="H61" s="86">
        <v>1025</v>
      </c>
      <c r="I61" s="86"/>
      <c r="J61" s="86"/>
      <c r="K61" s="86"/>
      <c r="L61" s="86"/>
      <c r="M61" s="86"/>
      <c r="N61" s="86"/>
      <c r="O61" s="86" t="str">
        <f t="shared" si="2"/>
        <v>1025-1026</v>
      </c>
      <c r="P61" s="86" t="s">
        <v>292</v>
      </c>
    </row>
    <row r="62" spans="1:16" hidden="1" x14ac:dyDescent="0.35">
      <c r="A62" s="34" t="s">
        <v>22</v>
      </c>
      <c r="B62" s="86" t="s">
        <v>23</v>
      </c>
      <c r="C62" s="86">
        <v>2</v>
      </c>
      <c r="D62" s="86">
        <v>2</v>
      </c>
      <c r="E62" s="35">
        <v>44481</v>
      </c>
      <c r="F62" s="150">
        <v>0.38541666666666669</v>
      </c>
      <c r="G62" s="32" t="b">
        <v>0</v>
      </c>
      <c r="H62" s="86">
        <v>1027</v>
      </c>
      <c r="I62" s="86"/>
      <c r="J62" s="86"/>
      <c r="K62" s="86"/>
      <c r="L62" s="86"/>
      <c r="M62" s="86"/>
      <c r="N62" s="86"/>
      <c r="O62" s="86" t="str">
        <f t="shared" si="2"/>
        <v>1027-1028</v>
      </c>
      <c r="P62" s="86" t="s">
        <v>289</v>
      </c>
    </row>
    <row r="63" spans="1:16" hidden="1" x14ac:dyDescent="0.35">
      <c r="A63" s="34" t="s">
        <v>22</v>
      </c>
      <c r="B63" s="86" t="s">
        <v>23</v>
      </c>
      <c r="C63" s="86">
        <v>2</v>
      </c>
      <c r="D63" s="86">
        <v>2</v>
      </c>
      <c r="E63" s="35">
        <v>44481</v>
      </c>
      <c r="F63" s="150">
        <v>0.38541666666666669</v>
      </c>
      <c r="G63" s="32" t="b">
        <v>0</v>
      </c>
      <c r="H63" s="86">
        <v>1029</v>
      </c>
      <c r="I63" s="86"/>
      <c r="J63" s="86"/>
      <c r="K63" s="86"/>
      <c r="L63" s="86"/>
      <c r="M63" s="86"/>
      <c r="N63" s="86"/>
      <c r="O63" s="86" t="str">
        <f t="shared" si="2"/>
        <v>1029-1030</v>
      </c>
      <c r="P63" s="86" t="s">
        <v>290</v>
      </c>
    </row>
    <row r="64" spans="1:16" ht="18.5" x14ac:dyDescent="0.45">
      <c r="A64" s="34" t="s">
        <v>22</v>
      </c>
      <c r="B64" s="86" t="s">
        <v>23</v>
      </c>
      <c r="C64" s="86">
        <v>2</v>
      </c>
      <c r="D64" s="86">
        <v>2</v>
      </c>
      <c r="E64" s="35">
        <v>44481</v>
      </c>
      <c r="F64" s="150">
        <v>0.50694444444444442</v>
      </c>
      <c r="G64" s="32" t="b">
        <v>0</v>
      </c>
      <c r="H64" s="86">
        <v>1043</v>
      </c>
      <c r="I64" s="86" t="s">
        <v>302</v>
      </c>
      <c r="J64" s="86"/>
      <c r="K64" s="86"/>
      <c r="L64" s="86"/>
      <c r="M64" s="152">
        <v>19</v>
      </c>
      <c r="N64" s="152" t="s">
        <v>901</v>
      </c>
      <c r="O64" s="153" t="str">
        <f t="shared" si="2"/>
        <v>1043-1044</v>
      </c>
      <c r="P64" s="152" t="s">
        <v>290</v>
      </c>
    </row>
    <row r="65" spans="1:16" hidden="1" x14ac:dyDescent="0.35">
      <c r="A65" s="34" t="s">
        <v>22</v>
      </c>
      <c r="B65" s="86" t="s">
        <v>23</v>
      </c>
      <c r="C65" s="86">
        <v>2</v>
      </c>
      <c r="D65" s="86">
        <v>2</v>
      </c>
      <c r="E65" s="35">
        <v>44481</v>
      </c>
      <c r="F65" s="150">
        <v>0.50694444444444442</v>
      </c>
      <c r="G65" s="32" t="b">
        <v>0</v>
      </c>
      <c r="H65" s="86">
        <v>1037</v>
      </c>
      <c r="I65" s="86"/>
      <c r="J65" s="86"/>
      <c r="K65" s="86"/>
      <c r="L65" s="86"/>
      <c r="M65" s="86"/>
      <c r="N65" s="86"/>
      <c r="O65" s="86" t="str">
        <f t="shared" si="2"/>
        <v>1037-1038</v>
      </c>
      <c r="P65" s="86" t="s">
        <v>292</v>
      </c>
    </row>
    <row r="66" spans="1:16" hidden="1" x14ac:dyDescent="0.35">
      <c r="A66" s="34"/>
      <c r="B66" s="86" t="s">
        <v>23</v>
      </c>
      <c r="C66" s="86"/>
      <c r="D66" s="86">
        <v>2</v>
      </c>
      <c r="E66" s="35"/>
      <c r="F66" s="150">
        <v>0.50694444444444442</v>
      </c>
      <c r="G66" s="32" t="b">
        <v>1</v>
      </c>
      <c r="H66" s="86">
        <v>1038</v>
      </c>
      <c r="I66" s="86"/>
      <c r="J66" s="86"/>
      <c r="K66" s="86"/>
      <c r="L66" s="86" t="s">
        <v>223</v>
      </c>
      <c r="M66" s="86"/>
      <c r="N66" s="86"/>
      <c r="O66" s="86" t="str">
        <f t="shared" si="2"/>
        <v>1038-1039</v>
      </c>
      <c r="P66" s="86" t="s">
        <v>292</v>
      </c>
    </row>
    <row r="67" spans="1:16" ht="18.5" x14ac:dyDescent="0.45">
      <c r="A67" s="34" t="s">
        <v>22</v>
      </c>
      <c r="B67" s="86" t="s">
        <v>23</v>
      </c>
      <c r="C67" s="86">
        <v>2</v>
      </c>
      <c r="D67" s="86">
        <v>3</v>
      </c>
      <c r="E67" s="35">
        <v>44482</v>
      </c>
      <c r="F67" s="150">
        <v>0.46875</v>
      </c>
      <c r="G67" s="32" t="b">
        <v>0</v>
      </c>
      <c r="H67" s="86">
        <v>1083</v>
      </c>
      <c r="I67" s="86" t="s">
        <v>302</v>
      </c>
      <c r="J67" s="86"/>
      <c r="K67" s="86"/>
      <c r="L67" s="86"/>
      <c r="M67" s="152">
        <v>20</v>
      </c>
      <c r="N67" s="152" t="s">
        <v>901</v>
      </c>
      <c r="O67" s="153" t="str">
        <f t="shared" si="2"/>
        <v>1083-1084</v>
      </c>
      <c r="P67" s="152" t="s">
        <v>290</v>
      </c>
    </row>
    <row r="68" spans="1:16" ht="18.5" x14ac:dyDescent="0.45">
      <c r="A68" s="34" t="s">
        <v>22</v>
      </c>
      <c r="B68" s="86" t="s">
        <v>23</v>
      </c>
      <c r="C68" s="86">
        <v>2</v>
      </c>
      <c r="D68" s="86">
        <v>3</v>
      </c>
      <c r="E68" s="35">
        <v>44481</v>
      </c>
      <c r="F68" s="150">
        <v>0.38541666666666669</v>
      </c>
      <c r="G68" s="32" t="b">
        <v>0</v>
      </c>
      <c r="H68" s="86">
        <v>1017</v>
      </c>
      <c r="I68" s="86" t="s">
        <v>302</v>
      </c>
      <c r="J68" s="86"/>
      <c r="K68" s="86"/>
      <c r="L68" s="86"/>
      <c r="M68" s="152">
        <v>21</v>
      </c>
      <c r="N68" s="152" t="s">
        <v>901</v>
      </c>
      <c r="O68" s="153" t="str">
        <f t="shared" si="2"/>
        <v>1017-1018</v>
      </c>
      <c r="P68" s="152" t="s">
        <v>289</v>
      </c>
    </row>
    <row r="69" spans="1:16" hidden="1" x14ac:dyDescent="0.35">
      <c r="A69" s="34" t="s">
        <v>22</v>
      </c>
      <c r="B69" s="86" t="s">
        <v>23</v>
      </c>
      <c r="C69" s="86">
        <v>2</v>
      </c>
      <c r="D69" s="86">
        <v>3</v>
      </c>
      <c r="E69" s="35">
        <v>44481</v>
      </c>
      <c r="F69" s="150">
        <v>0.50694444444444442</v>
      </c>
      <c r="G69" s="32" t="b">
        <v>0</v>
      </c>
      <c r="H69" s="86">
        <v>1047</v>
      </c>
      <c r="I69" s="86"/>
      <c r="J69" s="86"/>
      <c r="K69" s="86"/>
      <c r="L69" s="86"/>
      <c r="M69" s="86"/>
      <c r="N69" s="86"/>
      <c r="O69" s="86" t="str">
        <f t="shared" si="2"/>
        <v>1047-1048</v>
      </c>
      <c r="P69" s="86" t="s">
        <v>291</v>
      </c>
    </row>
    <row r="70" spans="1:16" hidden="1" x14ac:dyDescent="0.35">
      <c r="A70" s="34" t="s">
        <v>22</v>
      </c>
      <c r="B70" s="86" t="s">
        <v>23</v>
      </c>
      <c r="C70" s="86">
        <v>2</v>
      </c>
      <c r="D70" s="86"/>
      <c r="E70" s="35">
        <v>44482</v>
      </c>
      <c r="F70" s="150">
        <v>0.34375</v>
      </c>
      <c r="G70" s="32" t="b">
        <v>0</v>
      </c>
      <c r="H70" s="86">
        <v>1055</v>
      </c>
      <c r="I70" s="86"/>
      <c r="J70" s="86"/>
      <c r="K70" s="86"/>
      <c r="L70" s="86"/>
      <c r="M70" s="86"/>
      <c r="N70" s="86"/>
      <c r="O70" s="86" t="str">
        <f t="shared" si="2"/>
        <v>1055-1056</v>
      </c>
      <c r="P70" s="86" t="s">
        <v>290</v>
      </c>
    </row>
    <row r="71" spans="1:16" hidden="1" x14ac:dyDescent="0.35">
      <c r="A71" s="34" t="s">
        <v>22</v>
      </c>
      <c r="B71" s="86" t="s">
        <v>23</v>
      </c>
      <c r="C71" s="86">
        <v>2</v>
      </c>
      <c r="D71" s="86">
        <v>4</v>
      </c>
      <c r="E71" s="35">
        <v>44483</v>
      </c>
      <c r="F71" s="150">
        <v>0.39583333333333331</v>
      </c>
      <c r="G71" s="32" t="b">
        <v>0</v>
      </c>
      <c r="H71" s="86">
        <v>1061</v>
      </c>
      <c r="I71" s="86"/>
      <c r="J71" s="86"/>
      <c r="K71" s="86"/>
      <c r="L71" s="86"/>
      <c r="M71" s="86"/>
      <c r="N71" s="86"/>
      <c r="O71" s="86" t="str">
        <f t="shared" si="2"/>
        <v>1061-1062</v>
      </c>
      <c r="P71" s="86" t="s">
        <v>292</v>
      </c>
    </row>
    <row r="72" spans="1:16" hidden="1" x14ac:dyDescent="0.35">
      <c r="A72" s="34" t="s">
        <v>22</v>
      </c>
      <c r="B72" s="86" t="s">
        <v>23</v>
      </c>
      <c r="C72" s="86">
        <v>2</v>
      </c>
      <c r="D72" s="86">
        <v>4</v>
      </c>
      <c r="E72" s="35">
        <v>44482</v>
      </c>
      <c r="F72" s="150">
        <v>0.34375</v>
      </c>
      <c r="G72" s="32" t="b">
        <v>0</v>
      </c>
      <c r="H72" s="86">
        <v>1065</v>
      </c>
      <c r="I72" s="86"/>
      <c r="J72" s="86"/>
      <c r="K72" s="86"/>
      <c r="L72" s="86"/>
      <c r="M72" s="86"/>
      <c r="N72" s="86"/>
      <c r="O72" s="86" t="str">
        <f t="shared" si="2"/>
        <v>1065-1066</v>
      </c>
      <c r="P72" s="86" t="s">
        <v>289</v>
      </c>
    </row>
    <row r="73" spans="1:16" ht="18.5" x14ac:dyDescent="0.45">
      <c r="A73" s="34" t="s">
        <v>22</v>
      </c>
      <c r="B73" s="86" t="s">
        <v>23</v>
      </c>
      <c r="C73" s="86">
        <v>2</v>
      </c>
      <c r="D73" s="86">
        <v>4</v>
      </c>
      <c r="E73" s="35">
        <v>44482</v>
      </c>
      <c r="F73" s="150">
        <v>0.46875</v>
      </c>
      <c r="G73" s="32" t="b">
        <v>0</v>
      </c>
      <c r="H73" s="86">
        <v>1093</v>
      </c>
      <c r="I73" s="86" t="s">
        <v>302</v>
      </c>
      <c r="J73" s="86"/>
      <c r="K73" s="86"/>
      <c r="L73" s="86"/>
      <c r="M73" s="152">
        <v>21</v>
      </c>
      <c r="N73" s="152" t="s">
        <v>901</v>
      </c>
      <c r="O73" s="153" t="str">
        <f t="shared" si="2"/>
        <v>1093-1094</v>
      </c>
      <c r="P73" s="152" t="s">
        <v>289</v>
      </c>
    </row>
    <row r="74" spans="1:16" ht="18.5" x14ac:dyDescent="0.45">
      <c r="A74" s="34" t="s">
        <v>22</v>
      </c>
      <c r="B74" s="86" t="s">
        <v>23</v>
      </c>
      <c r="C74" s="86">
        <v>2</v>
      </c>
      <c r="D74" s="86">
        <v>5</v>
      </c>
      <c r="E74" s="35">
        <v>44483</v>
      </c>
      <c r="F74" s="150">
        <v>0.39583333333333331</v>
      </c>
      <c r="G74" s="32" t="b">
        <v>0</v>
      </c>
      <c r="H74" s="86">
        <v>1109</v>
      </c>
      <c r="I74" s="86" t="s">
        <v>302</v>
      </c>
      <c r="J74" s="86"/>
      <c r="K74" s="86"/>
      <c r="L74" s="86"/>
      <c r="M74" s="152">
        <v>23</v>
      </c>
      <c r="N74" s="152" t="s">
        <v>901</v>
      </c>
      <c r="O74" s="153" t="str">
        <f t="shared" si="2"/>
        <v>1109-1110</v>
      </c>
      <c r="P74" s="152" t="s">
        <v>289</v>
      </c>
    </row>
    <row r="75" spans="1:16" hidden="1" x14ac:dyDescent="0.35">
      <c r="A75" s="34" t="s">
        <v>22</v>
      </c>
      <c r="B75" s="86" t="s">
        <v>23</v>
      </c>
      <c r="C75" s="86">
        <v>2</v>
      </c>
      <c r="D75" s="86">
        <v>5</v>
      </c>
      <c r="E75" s="35">
        <v>44482</v>
      </c>
      <c r="F75" s="150">
        <v>0.46875</v>
      </c>
      <c r="G75" s="32" t="b">
        <v>0</v>
      </c>
      <c r="H75" s="86">
        <v>1079</v>
      </c>
      <c r="I75" s="86"/>
      <c r="J75" s="86"/>
      <c r="K75" s="86"/>
      <c r="L75" s="86"/>
      <c r="M75" s="86"/>
      <c r="N75" s="86"/>
      <c r="O75" s="86" t="str">
        <f t="shared" si="2"/>
        <v>1079-1080</v>
      </c>
      <c r="P75" s="86" t="s">
        <v>289</v>
      </c>
    </row>
    <row r="76" spans="1:16" ht="18.5" x14ac:dyDescent="0.45">
      <c r="A76" s="34" t="s">
        <v>22</v>
      </c>
      <c r="B76" s="86" t="s">
        <v>23</v>
      </c>
      <c r="C76" s="86">
        <v>2</v>
      </c>
      <c r="D76" s="86">
        <v>5</v>
      </c>
      <c r="E76" s="35">
        <v>44481</v>
      </c>
      <c r="F76" s="150">
        <v>0.50694444444444442</v>
      </c>
      <c r="G76" s="32" t="b">
        <v>0</v>
      </c>
      <c r="H76" s="86">
        <v>1039</v>
      </c>
      <c r="I76" s="86" t="s">
        <v>302</v>
      </c>
      <c r="J76" s="86"/>
      <c r="K76" s="86"/>
      <c r="L76" s="86"/>
      <c r="M76" s="152">
        <v>24</v>
      </c>
      <c r="N76" s="152" t="s">
        <v>901</v>
      </c>
      <c r="O76" s="153" t="str">
        <f t="shared" si="2"/>
        <v>1039-1040</v>
      </c>
      <c r="P76" s="152" t="s">
        <v>289</v>
      </c>
    </row>
    <row r="77" spans="1:16" hidden="1" x14ac:dyDescent="0.35">
      <c r="A77" s="34" t="s">
        <v>22</v>
      </c>
      <c r="B77" s="86" t="s">
        <v>23</v>
      </c>
      <c r="C77" s="86">
        <v>2</v>
      </c>
      <c r="D77" s="86">
        <v>5</v>
      </c>
      <c r="E77" s="35">
        <v>44482</v>
      </c>
      <c r="F77" s="150">
        <v>0.46875</v>
      </c>
      <c r="G77" s="32" t="b">
        <v>0</v>
      </c>
      <c r="H77" s="86">
        <v>1087</v>
      </c>
      <c r="I77" s="86"/>
      <c r="J77" s="86"/>
      <c r="K77" s="86"/>
      <c r="L77" s="86"/>
      <c r="M77" s="86"/>
      <c r="N77" s="86"/>
      <c r="O77" s="86" t="str">
        <f t="shared" si="2"/>
        <v>1087-1088</v>
      </c>
      <c r="P77" s="86" t="s">
        <v>291</v>
      </c>
    </row>
    <row r="78" spans="1:16" ht="18.5" x14ac:dyDescent="0.45">
      <c r="A78" s="34" t="s">
        <v>22</v>
      </c>
      <c r="B78" s="86" t="s">
        <v>23</v>
      </c>
      <c r="C78" s="86">
        <v>2</v>
      </c>
      <c r="D78" s="86">
        <v>6</v>
      </c>
      <c r="E78" s="35">
        <v>44483</v>
      </c>
      <c r="F78" s="150">
        <v>0.5</v>
      </c>
      <c r="G78" s="32" t="b">
        <v>0</v>
      </c>
      <c r="H78" s="86">
        <v>1119</v>
      </c>
      <c r="I78" s="86" t="s">
        <v>302</v>
      </c>
      <c r="J78" s="86"/>
      <c r="K78" s="86"/>
      <c r="L78" s="86"/>
      <c r="M78" s="152">
        <v>25</v>
      </c>
      <c r="N78" s="152" t="s">
        <v>901</v>
      </c>
      <c r="O78" s="153" t="str">
        <f t="shared" si="2"/>
        <v>1119-1120</v>
      </c>
      <c r="P78" s="152" t="s">
        <v>292</v>
      </c>
    </row>
    <row r="79" spans="1:16" ht="18.5" x14ac:dyDescent="0.45">
      <c r="A79" s="34" t="s">
        <v>22</v>
      </c>
      <c r="B79" s="86" t="s">
        <v>23</v>
      </c>
      <c r="C79" s="86">
        <v>2</v>
      </c>
      <c r="D79" s="86">
        <v>6</v>
      </c>
      <c r="E79" s="35">
        <v>44482</v>
      </c>
      <c r="F79" s="150">
        <v>0.46875</v>
      </c>
      <c r="G79" s="32" t="b">
        <v>0</v>
      </c>
      <c r="H79" s="86">
        <v>1091</v>
      </c>
      <c r="I79" s="86" t="s">
        <v>302</v>
      </c>
      <c r="J79" s="86"/>
      <c r="K79" s="86"/>
      <c r="L79" s="86"/>
      <c r="M79" s="152">
        <v>26</v>
      </c>
      <c r="N79" s="152" t="s">
        <v>901</v>
      </c>
      <c r="O79" s="153" t="str">
        <f t="shared" si="2"/>
        <v>1091-1092</v>
      </c>
      <c r="P79" s="152" t="s">
        <v>292</v>
      </c>
    </row>
    <row r="80" spans="1:16" hidden="1" x14ac:dyDescent="0.35">
      <c r="A80" s="34" t="s">
        <v>22</v>
      </c>
      <c r="B80" s="86" t="s">
        <v>23</v>
      </c>
      <c r="C80" s="86">
        <v>2</v>
      </c>
      <c r="D80" s="86">
        <v>6</v>
      </c>
      <c r="E80" s="35">
        <v>44483</v>
      </c>
      <c r="F80" s="150">
        <v>0.39583333333333331</v>
      </c>
      <c r="G80" s="32" t="b">
        <v>0</v>
      </c>
      <c r="H80" s="86">
        <v>1097</v>
      </c>
      <c r="I80" s="86"/>
      <c r="J80" s="86"/>
      <c r="K80" s="86"/>
      <c r="L80" s="86"/>
      <c r="M80" s="86"/>
      <c r="N80" s="86"/>
      <c r="O80" s="86" t="str">
        <f t="shared" si="2"/>
        <v>1097-1098</v>
      </c>
      <c r="P80" s="86" t="s">
        <v>290</v>
      </c>
    </row>
    <row r="81" spans="1:16" hidden="1" x14ac:dyDescent="0.35">
      <c r="A81" s="34" t="s">
        <v>22</v>
      </c>
      <c r="B81" s="86" t="s">
        <v>23</v>
      </c>
      <c r="C81" s="86">
        <v>2</v>
      </c>
      <c r="D81" s="86">
        <v>6</v>
      </c>
      <c r="E81" s="35">
        <v>44482</v>
      </c>
      <c r="F81" s="150">
        <v>0.34375</v>
      </c>
      <c r="G81" s="32" t="b">
        <v>0</v>
      </c>
      <c r="H81" s="86">
        <v>1099</v>
      </c>
      <c r="I81" s="86"/>
      <c r="J81" s="86"/>
      <c r="K81" s="86"/>
      <c r="L81" s="86"/>
      <c r="M81" s="86"/>
      <c r="N81" s="86"/>
      <c r="O81" s="86" t="str">
        <f t="shared" si="2"/>
        <v>1099-1100</v>
      </c>
      <c r="P81" s="86" t="s">
        <v>291</v>
      </c>
    </row>
    <row r="82" spans="1:16" ht="18.5" x14ac:dyDescent="0.45">
      <c r="A82" s="34" t="s">
        <v>22</v>
      </c>
      <c r="B82" s="86" t="s">
        <v>23</v>
      </c>
      <c r="C82" s="86">
        <v>2</v>
      </c>
      <c r="D82" s="86">
        <v>7</v>
      </c>
      <c r="E82" s="35">
        <v>44483</v>
      </c>
      <c r="F82" s="150">
        <v>0.39583333333333331</v>
      </c>
      <c r="G82" s="32" t="b">
        <v>0</v>
      </c>
      <c r="H82" s="86">
        <v>1105</v>
      </c>
      <c r="I82" s="86" t="s">
        <v>302</v>
      </c>
      <c r="J82" s="86"/>
      <c r="K82" s="86"/>
      <c r="L82" s="86"/>
      <c r="M82" s="152">
        <v>27</v>
      </c>
      <c r="N82" s="152" t="s">
        <v>901</v>
      </c>
      <c r="O82" s="153" t="str">
        <f t="shared" si="2"/>
        <v>1105-1106</v>
      </c>
      <c r="P82" s="152" t="s">
        <v>292</v>
      </c>
    </row>
    <row r="83" spans="1:16" ht="18.5" x14ac:dyDescent="0.45">
      <c r="A83" s="34" t="s">
        <v>22</v>
      </c>
      <c r="B83" s="86" t="s">
        <v>23</v>
      </c>
      <c r="C83" s="86">
        <v>2</v>
      </c>
      <c r="D83" s="86">
        <v>7</v>
      </c>
      <c r="E83" s="35">
        <v>44482</v>
      </c>
      <c r="F83" s="150">
        <v>0.46875</v>
      </c>
      <c r="G83" s="32" t="b">
        <v>0</v>
      </c>
      <c r="H83" s="86">
        <v>1075</v>
      </c>
      <c r="I83" s="86" t="s">
        <v>302</v>
      </c>
      <c r="J83" s="86"/>
      <c r="K83" s="86"/>
      <c r="L83" s="86"/>
      <c r="M83" s="152">
        <v>28</v>
      </c>
      <c r="N83" s="152" t="s">
        <v>901</v>
      </c>
      <c r="O83" s="153" t="str">
        <f t="shared" si="2"/>
        <v>1075-1076</v>
      </c>
      <c r="P83" s="152" t="s">
        <v>292</v>
      </c>
    </row>
    <row r="84" spans="1:16" ht="18.5" x14ac:dyDescent="0.45">
      <c r="A84" s="34" t="s">
        <v>22</v>
      </c>
      <c r="B84" s="86" t="s">
        <v>23</v>
      </c>
      <c r="C84" s="86">
        <v>2</v>
      </c>
      <c r="D84" s="86">
        <v>7</v>
      </c>
      <c r="E84" s="35">
        <v>44482</v>
      </c>
      <c r="F84" s="150">
        <v>0.46875</v>
      </c>
      <c r="G84" s="32" t="b">
        <v>0</v>
      </c>
      <c r="H84" s="86">
        <v>1071</v>
      </c>
      <c r="I84" s="86" t="s">
        <v>302</v>
      </c>
      <c r="J84" s="86"/>
      <c r="K84" s="86"/>
      <c r="L84" s="86"/>
      <c r="M84" s="152">
        <v>29</v>
      </c>
      <c r="N84" s="152" t="s">
        <v>901</v>
      </c>
      <c r="O84" s="153" t="str">
        <f t="shared" si="2"/>
        <v>1071-1072</v>
      </c>
      <c r="P84" s="152" t="s">
        <v>291</v>
      </c>
    </row>
    <row r="85" spans="1:16" ht="18.5" x14ac:dyDescent="0.45">
      <c r="A85" s="34" t="s">
        <v>22</v>
      </c>
      <c r="B85" s="86" t="s">
        <v>23</v>
      </c>
      <c r="C85" s="86">
        <v>2</v>
      </c>
      <c r="D85" s="86">
        <v>7</v>
      </c>
      <c r="E85" s="35">
        <v>44481</v>
      </c>
      <c r="F85" s="150">
        <v>0.50694444444444442</v>
      </c>
      <c r="G85" s="32" t="b">
        <v>0</v>
      </c>
      <c r="H85" s="86">
        <v>1033</v>
      </c>
      <c r="I85" s="86" t="s">
        <v>302</v>
      </c>
      <c r="J85" s="86"/>
      <c r="K85" s="86"/>
      <c r="L85" s="86"/>
      <c r="M85" s="152">
        <v>30</v>
      </c>
      <c r="N85" s="152" t="s">
        <v>901</v>
      </c>
      <c r="O85" s="153" t="str">
        <f t="shared" si="2"/>
        <v>1033-1034</v>
      </c>
      <c r="P85" s="152" t="s">
        <v>291</v>
      </c>
    </row>
    <row r="86" spans="1:16" hidden="1" x14ac:dyDescent="0.35">
      <c r="A86" s="34" t="s">
        <v>22</v>
      </c>
      <c r="B86" s="86" t="s">
        <v>23</v>
      </c>
      <c r="C86" s="86">
        <v>2</v>
      </c>
      <c r="D86" s="86">
        <v>8</v>
      </c>
      <c r="E86" s="35">
        <v>44483</v>
      </c>
      <c r="F86" s="150">
        <v>0.5</v>
      </c>
      <c r="G86" s="32" t="b">
        <v>0</v>
      </c>
      <c r="H86" s="86">
        <v>1115</v>
      </c>
      <c r="I86" s="86"/>
      <c r="J86" s="86"/>
      <c r="K86" s="86"/>
      <c r="L86" s="86"/>
      <c r="M86" s="86"/>
      <c r="N86" s="86"/>
      <c r="O86" s="86" t="str">
        <f t="shared" si="2"/>
        <v>1115-1116</v>
      </c>
      <c r="P86" s="86" t="s">
        <v>291</v>
      </c>
    </row>
    <row r="87" spans="1:16" ht="18.5" x14ac:dyDescent="0.45">
      <c r="A87" s="34" t="s">
        <v>22</v>
      </c>
      <c r="B87" s="86" t="s">
        <v>23</v>
      </c>
      <c r="C87" s="86">
        <v>2</v>
      </c>
      <c r="D87" s="86">
        <v>8</v>
      </c>
      <c r="E87" s="35">
        <v>44483</v>
      </c>
      <c r="F87" s="150">
        <v>0.39583333333333331</v>
      </c>
      <c r="G87" s="32" t="b">
        <v>0</v>
      </c>
      <c r="H87" s="86">
        <v>1103</v>
      </c>
      <c r="I87" s="86" t="s">
        <v>302</v>
      </c>
      <c r="J87" s="86"/>
      <c r="K87" s="86"/>
      <c r="L87" s="86"/>
      <c r="M87" s="152">
        <v>31</v>
      </c>
      <c r="N87" s="152" t="s">
        <v>901</v>
      </c>
      <c r="O87" s="153" t="str">
        <f t="shared" si="2"/>
        <v>1103-1104</v>
      </c>
      <c r="P87" s="152" t="s">
        <v>291</v>
      </c>
    </row>
    <row r="88" spans="1:16" hidden="1" x14ac:dyDescent="0.35">
      <c r="A88" s="34" t="s">
        <v>22</v>
      </c>
      <c r="B88" s="86" t="s">
        <v>23</v>
      </c>
      <c r="C88" s="86">
        <v>2</v>
      </c>
      <c r="D88" s="86">
        <v>8</v>
      </c>
      <c r="E88" s="35">
        <v>44483</v>
      </c>
      <c r="F88" s="150">
        <v>0.5</v>
      </c>
      <c r="G88" s="32" t="b">
        <v>0</v>
      </c>
      <c r="H88" s="86">
        <v>1127</v>
      </c>
      <c r="I88" s="86"/>
      <c r="J88" s="86"/>
      <c r="K88" s="86"/>
      <c r="L88" s="86"/>
      <c r="M88" s="86"/>
      <c r="N88" s="86"/>
      <c r="O88" s="86" t="str">
        <f t="shared" si="2"/>
        <v>1127-1128</v>
      </c>
      <c r="P88" s="86" t="s">
        <v>289</v>
      </c>
    </row>
    <row r="89" spans="1:16" ht="18.5" x14ac:dyDescent="0.45">
      <c r="A89" s="34" t="s">
        <v>22</v>
      </c>
      <c r="B89" s="86" t="s">
        <v>23</v>
      </c>
      <c r="C89" s="86">
        <v>2</v>
      </c>
      <c r="D89" s="86">
        <v>8</v>
      </c>
      <c r="E89" s="35">
        <v>44481</v>
      </c>
      <c r="F89" s="150">
        <v>0.38541666666666669</v>
      </c>
      <c r="G89" s="32" t="b">
        <v>0</v>
      </c>
      <c r="H89" s="86">
        <v>1023</v>
      </c>
      <c r="I89" s="86" t="s">
        <v>302</v>
      </c>
      <c r="J89" s="86"/>
      <c r="K89" s="86"/>
      <c r="L89" s="86"/>
      <c r="M89" s="152">
        <v>32</v>
      </c>
      <c r="N89" s="152" t="s">
        <v>901</v>
      </c>
      <c r="O89" s="153" t="str">
        <f t="shared" si="2"/>
        <v>1023-1024</v>
      </c>
      <c r="P89" s="152" t="s">
        <v>291</v>
      </c>
    </row>
    <row r="90" spans="1:16" hidden="1" x14ac:dyDescent="0.35">
      <c r="A90" s="34" t="s">
        <v>22</v>
      </c>
      <c r="B90" s="86" t="s">
        <v>23</v>
      </c>
      <c r="C90" s="86">
        <v>1</v>
      </c>
      <c r="D90" s="86">
        <v>3</v>
      </c>
      <c r="E90" s="35">
        <v>44466</v>
      </c>
      <c r="F90" s="150"/>
      <c r="G90" s="32" t="b">
        <v>0</v>
      </c>
      <c r="H90" s="86">
        <v>1135</v>
      </c>
      <c r="I90" s="86"/>
      <c r="J90" s="86"/>
      <c r="K90" s="86"/>
      <c r="L90" s="86"/>
      <c r="M90" s="86"/>
      <c r="N90" s="86"/>
      <c r="O90" s="86"/>
      <c r="P90" s="86" t="s">
        <v>285</v>
      </c>
    </row>
    <row r="91" spans="1:16" hidden="1" x14ac:dyDescent="0.35">
      <c r="A91" s="34" t="s">
        <v>22</v>
      </c>
      <c r="B91" s="86" t="s">
        <v>23</v>
      </c>
      <c r="C91" s="86">
        <v>1</v>
      </c>
      <c r="D91" s="86">
        <v>3</v>
      </c>
      <c r="E91" s="35">
        <v>44466</v>
      </c>
      <c r="F91" s="150"/>
      <c r="G91" s="32" t="b">
        <v>1</v>
      </c>
      <c r="H91" s="86">
        <v>1136</v>
      </c>
      <c r="I91" s="86"/>
      <c r="J91" s="86"/>
      <c r="K91" s="86"/>
      <c r="L91" s="86"/>
      <c r="M91" s="86"/>
      <c r="N91" s="86"/>
      <c r="O91" s="86"/>
      <c r="P91" s="86" t="s">
        <v>285</v>
      </c>
    </row>
    <row r="92" spans="1:16" hidden="1" x14ac:dyDescent="0.35">
      <c r="A92" s="34"/>
      <c r="B92" s="86"/>
      <c r="C92" s="86">
        <v>2</v>
      </c>
      <c r="D92" s="86">
        <v>3</v>
      </c>
      <c r="E92" s="35"/>
      <c r="F92" s="150"/>
      <c r="G92" s="32" t="b">
        <v>1</v>
      </c>
      <c r="H92" s="86">
        <v>1138</v>
      </c>
      <c r="I92" s="86"/>
      <c r="J92" s="86"/>
      <c r="K92" s="86"/>
      <c r="L92" s="86"/>
      <c r="M92" s="86"/>
      <c r="N92" s="86"/>
      <c r="O92" s="86"/>
      <c r="P92" s="86" t="s">
        <v>290</v>
      </c>
    </row>
    <row r="93" spans="1:16" hidden="1" x14ac:dyDescent="0.35">
      <c r="A93" s="34" t="s">
        <v>22</v>
      </c>
      <c r="B93" s="86" t="s">
        <v>23</v>
      </c>
      <c r="C93" s="86">
        <v>1</v>
      </c>
      <c r="D93" s="86">
        <v>3</v>
      </c>
      <c r="E93" s="35">
        <v>44466</v>
      </c>
      <c r="F93" s="150"/>
      <c r="G93" s="32" t="b">
        <v>0</v>
      </c>
      <c r="H93" s="86">
        <v>1141</v>
      </c>
      <c r="I93" s="86"/>
      <c r="J93" s="86"/>
      <c r="K93" s="86"/>
      <c r="L93" s="86"/>
      <c r="M93" s="86"/>
      <c r="N93" s="86"/>
      <c r="O93" s="86"/>
      <c r="P93" s="86" t="s">
        <v>286</v>
      </c>
    </row>
    <row r="94" spans="1:16" hidden="1" x14ac:dyDescent="0.35">
      <c r="A94" s="34" t="s">
        <v>22</v>
      </c>
      <c r="B94" s="86" t="s">
        <v>23</v>
      </c>
      <c r="C94" s="86">
        <v>1</v>
      </c>
      <c r="D94" s="86">
        <v>3</v>
      </c>
      <c r="E94" s="35">
        <v>44466</v>
      </c>
      <c r="F94" s="150"/>
      <c r="G94" s="32" t="b">
        <v>1</v>
      </c>
      <c r="H94" s="86">
        <v>1142</v>
      </c>
      <c r="I94" s="86"/>
      <c r="J94" s="86"/>
      <c r="K94" s="86"/>
      <c r="L94" s="86"/>
      <c r="M94" s="86"/>
      <c r="N94" s="86"/>
      <c r="O94" s="86"/>
      <c r="P94" s="86" t="s">
        <v>286</v>
      </c>
    </row>
  </sheetData>
  <autoFilter ref="E1:P94" xr:uid="{D81127E3-AFC1-4B3E-9C9A-996E89B3FF8C}">
    <filterColumn colId="4">
      <customFilters>
        <customFilter operator="notEqual" val=" "/>
      </customFilters>
    </filterColumn>
    <sortState xmlns:xlrd2="http://schemas.microsoft.com/office/spreadsheetml/2017/richdata2" ref="E13:P89">
      <sortCondition ref="M1:M94"/>
    </sortState>
  </autoFilter>
  <conditionalFormatting sqref="A1:A94">
    <cfRule type="containsText" dxfId="43" priority="9" operator="containsText" text="BM">
      <formula>NOT(ISERROR(SEARCH("BM",A1)))</formula>
    </cfRule>
    <cfRule type="containsText" dxfId="42" priority="10" operator="containsText" text="exud">
      <formula>NOT(ISERROR(SEARCH("exud",A1)))</formula>
    </cfRule>
    <cfRule type="containsText" dxfId="41" priority="11" operator="containsText" text="jav">
      <formula>NOT(ISERROR(SEARCH("jav",A1)))</formula>
    </cfRule>
    <cfRule type="containsText" dxfId="40" priority="12" operator="containsText" text="eco">
      <formula>NOT(ISERROR(SEARCH("eco",A1)))</formula>
    </cfRule>
  </conditionalFormatting>
  <conditionalFormatting sqref="G1:G94">
    <cfRule type="containsText" dxfId="39" priority="13" operator="containsText" text="faux">
      <formula>NOT(ISERROR(SEARCH("faux",G1)))</formula>
    </cfRule>
  </conditionalFormatting>
  <conditionalFormatting sqref="E1:E9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9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9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94">
    <cfRule type="containsText" dxfId="38" priority="6" operator="containsText" text="Sto_WS_HS">
      <formula>NOT(ISERROR(SEARCH("Sto_WS_HS",P1)))</formula>
    </cfRule>
    <cfRule type="containsText" dxfId="37" priority="7" operator="containsText" text="Sto_WS_OT">
      <formula>NOT(ISERROR(SEARCH("Sto_WS_OT",P1)))</formula>
    </cfRule>
    <cfRule type="containsText" dxfId="36" priority="8" operator="containsText" text="Sto_WW_OT">
      <formula>NOT(ISERROR(SEARCH("Sto_WW_OT",P1)))</formula>
    </cfRule>
  </conditionalFormatting>
  <conditionalFormatting sqref="P1:P94">
    <cfRule type="containsText" dxfId="35" priority="3" operator="containsText" text="Wen_WS_HS">
      <formula>NOT(ISERROR(SEARCH("Wen_WS_HS",P1)))</formula>
    </cfRule>
    <cfRule type="containsText" dxfId="34" priority="4" operator="containsText" text="Wen_WS_OT">
      <formula>NOT(ISERROR(SEARCH("Wen_WS_OT",P1)))</formula>
    </cfRule>
    <cfRule type="containsText" dxfId="33" priority="5" operator="containsText" text="Wen_WW_OT">
      <formula>NOT(ISERROR(SEARCH("Wen_WW_OT",P1)))</formula>
    </cfRule>
  </conditionalFormatting>
  <conditionalFormatting sqref="P1:P94">
    <cfRule type="containsText" dxfId="32" priority="1" operator="containsText" text="Wen_WW_HS">
      <formula>NOT(ISERROR(SEARCH("Wen_WW_HS",P1)))</formula>
    </cfRule>
    <cfRule type="containsText" dxfId="31" priority="2" operator="containsText" text="Sto_WW_HS">
      <formula>NOT(ISERROR(SEARCH("Sto_WW_HS",P1)))</formula>
    </cfRule>
  </conditionalFormatting>
  <pageMargins left="0.7" right="0.7" top="0.75" bottom="0.75" header="0.3" footer="0.3"/>
  <pageSetup paperSize="9" orientation="portrait" r:id="rId1"/>
  <headerFooter>
    <oddHeader>&amp;CBroyage sol pour PLATINE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7D10-CA5D-4B81-9549-600C6BF656E6}">
  <dimension ref="A1:V242"/>
  <sheetViews>
    <sheetView zoomScale="70" zoomScaleNormal="70" workbookViewId="0">
      <selection activeCell="U17" sqref="U17"/>
    </sheetView>
  </sheetViews>
  <sheetFormatPr baseColWidth="10" defaultColWidth="47.54296875" defaultRowHeight="13" x14ac:dyDescent="0.3"/>
  <cols>
    <col min="1" max="1" width="11.81640625" style="120" bestFit="1" customWidth="1"/>
    <col min="2" max="2" width="19.1796875" style="120" bestFit="1" customWidth="1"/>
    <col min="3" max="3" width="18" style="120" bestFit="1" customWidth="1"/>
    <col min="4" max="4" width="18.54296875" style="120" customWidth="1"/>
    <col min="5" max="5" width="13.1796875" style="120" hidden="1" customWidth="1"/>
    <col min="6" max="6" width="13.1796875" style="120" customWidth="1"/>
    <col min="7" max="7" width="11.81640625" style="120" bestFit="1" customWidth="1"/>
    <col min="8" max="8" width="5" style="120" hidden="1" customWidth="1"/>
    <col min="9" max="9" width="15.81640625" style="120" hidden="1" customWidth="1"/>
    <col min="10" max="10" width="15" style="120" hidden="1" customWidth="1"/>
    <col min="11" max="11" width="13.453125" style="120" hidden="1" customWidth="1"/>
    <col min="12" max="12" width="15" style="120" bestFit="1" customWidth="1"/>
    <col min="13" max="13" width="20.453125" style="120" bestFit="1" customWidth="1"/>
    <col min="14" max="14" width="17" style="120" bestFit="1" customWidth="1"/>
    <col min="15" max="15" width="22.453125" style="120" bestFit="1" customWidth="1"/>
    <col min="16" max="16" width="20.81640625" style="120" bestFit="1" customWidth="1"/>
    <col min="17" max="17" width="5.54296875" style="120" bestFit="1" customWidth="1"/>
    <col min="18" max="19" width="6.81640625" style="120" hidden="1" customWidth="1"/>
    <col min="20" max="21" width="9.54296875" style="120" bestFit="1" customWidth="1"/>
    <col min="22" max="22" width="105" style="120" bestFit="1" customWidth="1"/>
    <col min="23" max="16384" width="47.54296875" style="120"/>
  </cols>
  <sheetData>
    <row r="1" spans="1:22" ht="13.5" thickBot="1" x14ac:dyDescent="0.35">
      <c r="A1" s="111" t="s">
        <v>7</v>
      </c>
      <c r="B1" s="112" t="s">
        <v>6</v>
      </c>
      <c r="C1" s="112" t="s">
        <v>5</v>
      </c>
      <c r="D1" s="113" t="s">
        <v>357</v>
      </c>
      <c r="E1" s="113" t="s">
        <v>358</v>
      </c>
      <c r="F1" s="113" t="s">
        <v>643</v>
      </c>
      <c r="G1" s="113" t="s">
        <v>14</v>
      </c>
      <c r="H1" s="114" t="s">
        <v>11</v>
      </c>
      <c r="I1" s="115" t="s">
        <v>359</v>
      </c>
      <c r="J1" s="115" t="s">
        <v>360</v>
      </c>
      <c r="K1" s="115" t="s">
        <v>361</v>
      </c>
      <c r="L1" s="113" t="s">
        <v>356</v>
      </c>
      <c r="M1" s="115" t="s">
        <v>362</v>
      </c>
      <c r="N1" s="115" t="s">
        <v>363</v>
      </c>
      <c r="O1" s="116" t="s">
        <v>364</v>
      </c>
      <c r="P1" s="117" t="s">
        <v>365</v>
      </c>
      <c r="Q1" s="117" t="s">
        <v>366</v>
      </c>
      <c r="R1" s="117" t="s">
        <v>367</v>
      </c>
      <c r="S1" s="117" t="s">
        <v>368</v>
      </c>
      <c r="T1" s="118" t="s">
        <v>369</v>
      </c>
      <c r="U1" s="119" t="s">
        <v>370</v>
      </c>
      <c r="V1" s="115" t="s">
        <v>16</v>
      </c>
    </row>
    <row r="2" spans="1:22" ht="14" thickBot="1" x14ac:dyDescent="0.4">
      <c r="A2" s="131" t="s">
        <v>25</v>
      </c>
      <c r="B2" s="122" t="s">
        <v>20</v>
      </c>
      <c r="C2" s="122" t="s">
        <v>19</v>
      </c>
      <c r="D2" s="113" t="s">
        <v>371</v>
      </c>
      <c r="E2" s="113" t="s">
        <v>372</v>
      </c>
      <c r="F2" s="146" t="str">
        <f>G2&amp;" "&amp;IF(E2="bulk_soil","bk",IF(E2="rhizosphere","rh",IF(E2="root_endo","ri",IF(E2="root_ecto","ro",IF(E2="leaf_ecto","lo",IF(E2="leaf_endo","li","error"))))))</f>
        <v>20 bk</v>
      </c>
      <c r="G2" s="123">
        <v>20</v>
      </c>
      <c r="H2" s="124">
        <v>1</v>
      </c>
      <c r="I2" s="125" t="s">
        <v>373</v>
      </c>
      <c r="J2" s="125"/>
      <c r="K2" s="125" t="s">
        <v>374</v>
      </c>
      <c r="L2" s="113">
        <v>1</v>
      </c>
      <c r="M2" s="126">
        <v>45006</v>
      </c>
      <c r="N2" s="125" t="s">
        <v>375</v>
      </c>
      <c r="O2" s="127">
        <v>45007.407673611109</v>
      </c>
      <c r="P2" s="128">
        <v>251.1</v>
      </c>
      <c r="Q2" s="125" t="s">
        <v>376</v>
      </c>
      <c r="R2" s="128">
        <v>5.0220000000000002</v>
      </c>
      <c r="S2" s="128">
        <v>2.6680000000000001</v>
      </c>
      <c r="T2" s="128">
        <v>1.88</v>
      </c>
      <c r="U2" s="128">
        <v>1.21</v>
      </c>
      <c r="V2" s="125"/>
    </row>
    <row r="3" spans="1:22" ht="14" thickBot="1" x14ac:dyDescent="0.4">
      <c r="A3" s="131" t="s">
        <v>25</v>
      </c>
      <c r="B3" s="130" t="s">
        <v>39</v>
      </c>
      <c r="C3" s="122" t="s">
        <v>19</v>
      </c>
      <c r="D3" s="113" t="s">
        <v>391</v>
      </c>
      <c r="E3" s="113" t="s">
        <v>372</v>
      </c>
      <c r="F3" s="146" t="str">
        <f t="shared" ref="F3:F66" si="0">G3&amp;" "&amp;IF(E3="bulk_soil","bk",IF(E3="rhizosphere","rh",IF(E3="root_endo","ri",IF(E3="root_ecto","ro",IF(E3="leaf_ecto","lo",IF(E3="leaf_endo","li","error"))))))</f>
        <v>24 bk</v>
      </c>
      <c r="G3" s="123">
        <v>24</v>
      </c>
      <c r="H3" s="124">
        <v>3</v>
      </c>
      <c r="I3" s="125" t="s">
        <v>373</v>
      </c>
      <c r="J3" s="125"/>
      <c r="K3" s="125" t="s">
        <v>374</v>
      </c>
      <c r="L3" s="113"/>
      <c r="M3" s="126">
        <v>45013</v>
      </c>
      <c r="N3" s="125" t="s">
        <v>392</v>
      </c>
      <c r="O3" s="127">
        <v>45013.620138888888</v>
      </c>
      <c r="P3" s="128">
        <v>113.9</v>
      </c>
      <c r="Q3" s="125" t="s">
        <v>376</v>
      </c>
      <c r="R3" s="128">
        <v>2.2789999999999999</v>
      </c>
      <c r="S3" s="128">
        <v>1.236</v>
      </c>
      <c r="T3" s="128">
        <v>1.84</v>
      </c>
      <c r="U3" s="128">
        <v>0.87</v>
      </c>
      <c r="V3" s="125"/>
    </row>
    <row r="4" spans="1:22" ht="14" thickBot="1" x14ac:dyDescent="0.4">
      <c r="A4" s="121" t="s">
        <v>21</v>
      </c>
      <c r="B4" s="130" t="s">
        <v>39</v>
      </c>
      <c r="C4" s="122" t="s">
        <v>19</v>
      </c>
      <c r="D4" s="113" t="s">
        <v>394</v>
      </c>
      <c r="E4" s="113" t="s">
        <v>372</v>
      </c>
      <c r="F4" s="146" t="str">
        <f t="shared" si="0"/>
        <v>26 bk</v>
      </c>
      <c r="G4" s="123">
        <v>26</v>
      </c>
      <c r="H4" s="124">
        <v>2</v>
      </c>
      <c r="I4" s="125" t="s">
        <v>373</v>
      </c>
      <c r="J4" s="125"/>
      <c r="K4" s="125" t="s">
        <v>374</v>
      </c>
      <c r="L4" s="113">
        <v>1</v>
      </c>
      <c r="M4" s="125"/>
      <c r="N4" s="125" t="s">
        <v>386</v>
      </c>
      <c r="O4" s="127">
        <v>45009.810312499998</v>
      </c>
      <c r="P4" s="128">
        <v>220.2</v>
      </c>
      <c r="Q4" s="125" t="s">
        <v>376</v>
      </c>
      <c r="R4" s="128">
        <v>4.4050000000000002</v>
      </c>
      <c r="S4" s="128">
        <v>2.3029999999999999</v>
      </c>
      <c r="T4" s="128">
        <v>1.91</v>
      </c>
      <c r="U4" s="128">
        <v>0.47</v>
      </c>
      <c r="V4" s="125"/>
    </row>
    <row r="5" spans="1:22" ht="14" thickBot="1" x14ac:dyDescent="0.4">
      <c r="A5" s="121" t="s">
        <v>21</v>
      </c>
      <c r="B5" s="122" t="s">
        <v>20</v>
      </c>
      <c r="C5" s="122" t="s">
        <v>19</v>
      </c>
      <c r="D5" s="113" t="s">
        <v>396</v>
      </c>
      <c r="E5" s="113" t="s">
        <v>372</v>
      </c>
      <c r="F5" s="146" t="str">
        <f t="shared" si="0"/>
        <v>28 bk</v>
      </c>
      <c r="G5" s="123">
        <v>28</v>
      </c>
      <c r="H5" s="124">
        <v>1</v>
      </c>
      <c r="I5" s="125" t="s">
        <v>373</v>
      </c>
      <c r="J5" s="125"/>
      <c r="K5" s="125" t="s">
        <v>374</v>
      </c>
      <c r="L5" s="113">
        <v>1</v>
      </c>
      <c r="M5" s="126">
        <v>45006</v>
      </c>
      <c r="N5" s="125" t="s">
        <v>375</v>
      </c>
      <c r="O5" s="127">
        <v>45007.409212962964</v>
      </c>
      <c r="P5" s="128">
        <v>180.4</v>
      </c>
      <c r="Q5" s="125" t="s">
        <v>376</v>
      </c>
      <c r="R5" s="128">
        <v>3.6070000000000002</v>
      </c>
      <c r="S5" s="128">
        <v>1.911</v>
      </c>
      <c r="T5" s="128">
        <v>1.89</v>
      </c>
      <c r="U5" s="128">
        <v>0.5</v>
      </c>
      <c r="V5" s="125"/>
    </row>
    <row r="6" spans="1:22" ht="14" thickBot="1" x14ac:dyDescent="0.4">
      <c r="A6" s="131" t="s">
        <v>25</v>
      </c>
      <c r="B6" s="130" t="s">
        <v>39</v>
      </c>
      <c r="C6" s="122" t="s">
        <v>19</v>
      </c>
      <c r="D6" s="113" t="s">
        <v>402</v>
      </c>
      <c r="E6" s="113" t="s">
        <v>372</v>
      </c>
      <c r="F6" s="146" t="str">
        <f t="shared" si="0"/>
        <v>34 bk</v>
      </c>
      <c r="G6" s="123">
        <v>34</v>
      </c>
      <c r="H6" s="124">
        <v>1</v>
      </c>
      <c r="I6" s="125" t="s">
        <v>373</v>
      </c>
      <c r="J6" s="125"/>
      <c r="K6" s="125" t="s">
        <v>374</v>
      </c>
      <c r="L6" s="113">
        <v>1</v>
      </c>
      <c r="M6" s="126">
        <v>45006</v>
      </c>
      <c r="N6" s="125" t="s">
        <v>375</v>
      </c>
      <c r="O6" s="127">
        <v>45007.410590277781</v>
      </c>
      <c r="P6" s="128">
        <v>143.19999999999999</v>
      </c>
      <c r="Q6" s="125" t="s">
        <v>376</v>
      </c>
      <c r="R6" s="128">
        <v>2.863</v>
      </c>
      <c r="S6" s="128">
        <v>1.506</v>
      </c>
      <c r="T6" s="128">
        <v>1.9</v>
      </c>
      <c r="U6" s="128">
        <v>0.69</v>
      </c>
      <c r="V6" s="125"/>
    </row>
    <row r="7" spans="1:22" ht="14" thickBot="1" x14ac:dyDescent="0.4">
      <c r="A7" s="121" t="s">
        <v>21</v>
      </c>
      <c r="B7" s="130" t="s">
        <v>39</v>
      </c>
      <c r="C7" s="122" t="s">
        <v>19</v>
      </c>
      <c r="D7" s="113" t="s">
        <v>408</v>
      </c>
      <c r="E7" s="113" t="s">
        <v>372</v>
      </c>
      <c r="F7" s="146" t="str">
        <f t="shared" si="0"/>
        <v>38 bk</v>
      </c>
      <c r="G7" s="123">
        <v>38</v>
      </c>
      <c r="H7" s="124">
        <v>1</v>
      </c>
      <c r="I7" s="125" t="s">
        <v>373</v>
      </c>
      <c r="J7" s="125"/>
      <c r="K7" s="125" t="s">
        <v>374</v>
      </c>
      <c r="L7" s="113">
        <v>1</v>
      </c>
      <c r="M7" s="126">
        <v>45006</v>
      </c>
      <c r="N7" s="125" t="s">
        <v>375</v>
      </c>
      <c r="O7" s="127">
        <v>45007.411874999998</v>
      </c>
      <c r="P7" s="128">
        <v>264.8</v>
      </c>
      <c r="Q7" s="125" t="s">
        <v>376</v>
      </c>
      <c r="R7" s="128">
        <v>5.2960000000000003</v>
      </c>
      <c r="S7" s="128">
        <v>2.7839999999999998</v>
      </c>
      <c r="T7" s="128">
        <v>1.9</v>
      </c>
      <c r="U7" s="128">
        <v>0.76</v>
      </c>
      <c r="V7" s="125"/>
    </row>
    <row r="8" spans="1:22" ht="14" thickBot="1" x14ac:dyDescent="0.4">
      <c r="A8" s="121" t="s">
        <v>21</v>
      </c>
      <c r="B8" s="122" t="s">
        <v>20</v>
      </c>
      <c r="C8" s="122" t="s">
        <v>19</v>
      </c>
      <c r="D8" s="113" t="s">
        <v>410</v>
      </c>
      <c r="E8" s="113" t="s">
        <v>372</v>
      </c>
      <c r="F8" s="146" t="str">
        <f t="shared" si="0"/>
        <v>40 bk</v>
      </c>
      <c r="G8" s="123">
        <v>40</v>
      </c>
      <c r="H8" s="124">
        <v>1</v>
      </c>
      <c r="I8" s="125" t="s">
        <v>373</v>
      </c>
      <c r="J8" s="125"/>
      <c r="K8" s="125" t="s">
        <v>374</v>
      </c>
      <c r="L8" s="113">
        <v>1</v>
      </c>
      <c r="M8" s="126">
        <v>45006</v>
      </c>
      <c r="N8" s="125" t="s">
        <v>375</v>
      </c>
      <c r="O8" s="127">
        <v>45007.41300925926</v>
      </c>
      <c r="P8" s="128">
        <v>201.7</v>
      </c>
      <c r="Q8" s="125" t="s">
        <v>376</v>
      </c>
      <c r="R8" s="128">
        <v>4.0330000000000004</v>
      </c>
      <c r="S8" s="128">
        <v>2.1360000000000001</v>
      </c>
      <c r="T8" s="128">
        <v>1.89</v>
      </c>
      <c r="U8" s="128">
        <v>0.9</v>
      </c>
      <c r="V8" s="125"/>
    </row>
    <row r="9" spans="1:22" ht="14" thickBot="1" x14ac:dyDescent="0.4">
      <c r="A9" s="131" t="s">
        <v>25</v>
      </c>
      <c r="B9" s="122" t="s">
        <v>20</v>
      </c>
      <c r="C9" s="122" t="s">
        <v>19</v>
      </c>
      <c r="D9" s="113" t="s">
        <v>416</v>
      </c>
      <c r="E9" s="113" t="s">
        <v>372</v>
      </c>
      <c r="F9" s="146" t="str">
        <f t="shared" si="0"/>
        <v>56 bk</v>
      </c>
      <c r="G9" s="123">
        <v>56</v>
      </c>
      <c r="H9" s="124">
        <v>3</v>
      </c>
      <c r="I9" s="125" t="s">
        <v>373</v>
      </c>
      <c r="J9" s="125"/>
      <c r="K9" s="125" t="s">
        <v>374</v>
      </c>
      <c r="L9" s="113">
        <v>1</v>
      </c>
      <c r="M9" s="126">
        <v>45013</v>
      </c>
      <c r="N9" s="125" t="s">
        <v>392</v>
      </c>
      <c r="O9" s="127">
        <v>45013.623611111114</v>
      </c>
      <c r="P9" s="128">
        <v>327.7</v>
      </c>
      <c r="Q9" s="125" t="s">
        <v>376</v>
      </c>
      <c r="R9" s="128">
        <v>6.5549999999999997</v>
      </c>
      <c r="S9" s="128">
        <v>3.5230000000000001</v>
      </c>
      <c r="T9" s="128">
        <v>1.86</v>
      </c>
      <c r="U9" s="128">
        <v>0.99</v>
      </c>
      <c r="V9" s="125"/>
    </row>
    <row r="10" spans="1:22" ht="14" thickBot="1" x14ac:dyDescent="0.4">
      <c r="A10" s="121" t="s">
        <v>21</v>
      </c>
      <c r="B10" s="130" t="s">
        <v>39</v>
      </c>
      <c r="C10" s="122" t="s">
        <v>19</v>
      </c>
      <c r="D10" s="113" t="s">
        <v>423</v>
      </c>
      <c r="E10" s="113" t="s">
        <v>372</v>
      </c>
      <c r="F10" s="146" t="str">
        <f t="shared" si="0"/>
        <v>62 bk</v>
      </c>
      <c r="G10" s="123">
        <v>62</v>
      </c>
      <c r="H10" s="124">
        <v>3</v>
      </c>
      <c r="I10" s="125" t="s">
        <v>373</v>
      </c>
      <c r="J10" s="125"/>
      <c r="K10" s="125" t="s">
        <v>374</v>
      </c>
      <c r="L10" s="113">
        <v>1</v>
      </c>
      <c r="M10" s="126">
        <v>45013</v>
      </c>
      <c r="N10" s="125" t="s">
        <v>392</v>
      </c>
      <c r="O10" s="127">
        <v>45013.624305555553</v>
      </c>
      <c r="P10" s="128">
        <v>156.69999999999999</v>
      </c>
      <c r="Q10" s="125" t="s">
        <v>376</v>
      </c>
      <c r="R10" s="128">
        <v>3.1349999999999998</v>
      </c>
      <c r="S10" s="128">
        <v>1.6739999999999999</v>
      </c>
      <c r="T10" s="128">
        <v>1.87</v>
      </c>
      <c r="U10" s="128">
        <v>0.54</v>
      </c>
      <c r="V10" s="125"/>
    </row>
    <row r="11" spans="1:22" ht="14" thickBot="1" x14ac:dyDescent="0.4">
      <c r="A11" s="131" t="s">
        <v>25</v>
      </c>
      <c r="B11" s="130" t="s">
        <v>39</v>
      </c>
      <c r="C11" s="122" t="s">
        <v>19</v>
      </c>
      <c r="D11" s="113" t="s">
        <v>430</v>
      </c>
      <c r="E11" s="113" t="s">
        <v>372</v>
      </c>
      <c r="F11" s="146" t="str">
        <f t="shared" si="0"/>
        <v>72 bk</v>
      </c>
      <c r="G11" s="123">
        <v>72</v>
      </c>
      <c r="H11" s="124">
        <v>3</v>
      </c>
      <c r="I11" s="125" t="s">
        <v>373</v>
      </c>
      <c r="J11" s="125"/>
      <c r="K11" s="125" t="s">
        <v>374</v>
      </c>
      <c r="L11" s="113">
        <v>1</v>
      </c>
      <c r="M11" s="126">
        <v>45013</v>
      </c>
      <c r="N11" s="125" t="s">
        <v>392</v>
      </c>
      <c r="O11" s="127">
        <v>45013.625694444447</v>
      </c>
      <c r="P11" s="128">
        <v>290.8</v>
      </c>
      <c r="Q11" s="125" t="s">
        <v>376</v>
      </c>
      <c r="R11" s="128">
        <v>5.8150000000000004</v>
      </c>
      <c r="S11" s="128">
        <v>3.069</v>
      </c>
      <c r="T11" s="128">
        <v>1.89</v>
      </c>
      <c r="U11" s="128">
        <v>1.1100000000000001</v>
      </c>
      <c r="V11" s="125"/>
    </row>
    <row r="12" spans="1:22" ht="14" thickBot="1" x14ac:dyDescent="0.4">
      <c r="A12" s="131" t="s">
        <v>25</v>
      </c>
      <c r="B12" s="122" t="s">
        <v>20</v>
      </c>
      <c r="C12" s="122" t="s">
        <v>19</v>
      </c>
      <c r="D12" s="113" t="s">
        <v>444</v>
      </c>
      <c r="E12" s="113" t="s">
        <v>372</v>
      </c>
      <c r="F12" s="146" t="str">
        <f t="shared" si="0"/>
        <v>84 bk</v>
      </c>
      <c r="G12" s="123">
        <v>84</v>
      </c>
      <c r="H12" s="124">
        <v>4</v>
      </c>
      <c r="I12" s="125" t="s">
        <v>373</v>
      </c>
      <c r="J12" s="125"/>
      <c r="K12" s="125" t="s">
        <v>374</v>
      </c>
      <c r="L12" s="113">
        <v>1</v>
      </c>
      <c r="M12" s="126">
        <v>45014</v>
      </c>
      <c r="N12" s="125" t="s">
        <v>392</v>
      </c>
      <c r="O12" s="127">
        <v>45014.603472222225</v>
      </c>
      <c r="P12" s="128">
        <v>406.6</v>
      </c>
      <c r="Q12" s="125" t="s">
        <v>376</v>
      </c>
      <c r="R12" s="128">
        <v>8.1310000000000002</v>
      </c>
      <c r="S12" s="128">
        <v>4.3289999999999997</v>
      </c>
      <c r="T12" s="128">
        <v>1.88</v>
      </c>
      <c r="U12" s="128">
        <v>2.06</v>
      </c>
      <c r="V12" s="125"/>
    </row>
    <row r="13" spans="1:22" ht="14" thickBot="1" x14ac:dyDescent="0.4">
      <c r="A13" s="121" t="s">
        <v>21</v>
      </c>
      <c r="B13" s="130" t="s">
        <v>39</v>
      </c>
      <c r="C13" s="122" t="s">
        <v>19</v>
      </c>
      <c r="D13" s="113" t="s">
        <v>454</v>
      </c>
      <c r="E13" s="113" t="s">
        <v>372</v>
      </c>
      <c r="F13" s="146" t="str">
        <f t="shared" si="0"/>
        <v>92 bk</v>
      </c>
      <c r="G13" s="123">
        <v>92</v>
      </c>
      <c r="H13" s="124">
        <v>4</v>
      </c>
      <c r="I13" s="125" t="s">
        <v>373</v>
      </c>
      <c r="J13" s="125"/>
      <c r="K13" s="125" t="s">
        <v>374</v>
      </c>
      <c r="L13" s="113">
        <v>1</v>
      </c>
      <c r="M13" s="126">
        <v>45014</v>
      </c>
      <c r="N13" s="125" t="s">
        <v>392</v>
      </c>
      <c r="O13" s="127">
        <v>45014.605555555558</v>
      </c>
      <c r="P13" s="128">
        <v>190.6</v>
      </c>
      <c r="Q13" s="125" t="s">
        <v>376</v>
      </c>
      <c r="R13" s="128">
        <v>3.8119999999999998</v>
      </c>
      <c r="S13" s="128">
        <v>2.028</v>
      </c>
      <c r="T13" s="128">
        <v>1.88</v>
      </c>
      <c r="U13" s="128">
        <v>0.65</v>
      </c>
      <c r="V13" s="125"/>
    </row>
    <row r="14" spans="1:22" ht="14" thickBot="1" x14ac:dyDescent="0.4">
      <c r="A14" s="131" t="s">
        <v>25</v>
      </c>
      <c r="B14" s="130" t="s">
        <v>39</v>
      </c>
      <c r="C14" s="122" t="s">
        <v>19</v>
      </c>
      <c r="D14" s="113" t="s">
        <v>460</v>
      </c>
      <c r="E14" s="113" t="s">
        <v>372</v>
      </c>
      <c r="F14" s="146" t="str">
        <f t="shared" si="0"/>
        <v>100 bk</v>
      </c>
      <c r="G14" s="123">
        <v>100</v>
      </c>
      <c r="H14" s="124">
        <v>5</v>
      </c>
      <c r="I14" s="125" t="s">
        <v>373</v>
      </c>
      <c r="J14" s="125"/>
      <c r="K14" s="125" t="s">
        <v>374</v>
      </c>
      <c r="L14" s="113">
        <v>2</v>
      </c>
      <c r="M14" s="126">
        <v>45019</v>
      </c>
      <c r="N14" s="125" t="s">
        <v>392</v>
      </c>
      <c r="O14" s="127">
        <v>45019.612060185187</v>
      </c>
      <c r="P14" s="128">
        <v>97.1</v>
      </c>
      <c r="Q14" s="125" t="s">
        <v>376</v>
      </c>
      <c r="R14" s="128">
        <v>1.9430000000000001</v>
      </c>
      <c r="S14" s="128">
        <v>1.038</v>
      </c>
      <c r="T14" s="128">
        <v>1.87</v>
      </c>
      <c r="U14" s="128">
        <v>1.07</v>
      </c>
      <c r="V14" s="125"/>
    </row>
    <row r="15" spans="1:22" ht="14" thickBot="1" x14ac:dyDescent="0.4">
      <c r="A15" s="131" t="s">
        <v>25</v>
      </c>
      <c r="B15" s="130" t="s">
        <v>39</v>
      </c>
      <c r="C15" s="122" t="s">
        <v>19</v>
      </c>
      <c r="D15" s="113" t="s">
        <v>467</v>
      </c>
      <c r="E15" s="113" t="s">
        <v>372</v>
      </c>
      <c r="F15" s="146" t="str">
        <f t="shared" si="0"/>
        <v>104 bk</v>
      </c>
      <c r="G15" s="123">
        <v>104</v>
      </c>
      <c r="H15" s="124">
        <v>6</v>
      </c>
      <c r="I15" s="125" t="s">
        <v>373</v>
      </c>
      <c r="J15" s="125"/>
      <c r="K15" s="125" t="s">
        <v>374</v>
      </c>
      <c r="L15" s="113">
        <v>2</v>
      </c>
      <c r="M15" s="126">
        <v>45034</v>
      </c>
      <c r="N15" s="125" t="s">
        <v>386</v>
      </c>
      <c r="O15" s="127">
        <v>45034.816388888888</v>
      </c>
      <c r="P15" s="128">
        <v>189.5</v>
      </c>
      <c r="Q15" s="125" t="s">
        <v>376</v>
      </c>
      <c r="R15" s="128">
        <v>3.7890000000000001</v>
      </c>
      <c r="S15" s="128">
        <v>2.0110000000000001</v>
      </c>
      <c r="T15" s="128">
        <v>1.88</v>
      </c>
      <c r="U15" s="128">
        <v>1.62</v>
      </c>
      <c r="V15" s="125"/>
    </row>
    <row r="16" spans="1:22" ht="14" thickBot="1" x14ac:dyDescent="0.4">
      <c r="A16" s="121" t="s">
        <v>21</v>
      </c>
      <c r="B16" s="130" t="s">
        <v>39</v>
      </c>
      <c r="C16" s="122" t="s">
        <v>19</v>
      </c>
      <c r="D16" s="113" t="s">
        <v>469</v>
      </c>
      <c r="E16" s="113" t="s">
        <v>372</v>
      </c>
      <c r="F16" s="146" t="str">
        <f t="shared" si="0"/>
        <v>106 bk</v>
      </c>
      <c r="G16" s="123">
        <v>106</v>
      </c>
      <c r="H16" s="124">
        <v>6</v>
      </c>
      <c r="I16" s="125" t="s">
        <v>373</v>
      </c>
      <c r="J16" s="125"/>
      <c r="K16" s="125" t="s">
        <v>374</v>
      </c>
      <c r="L16" s="113">
        <v>2</v>
      </c>
      <c r="M16" s="126">
        <v>45034</v>
      </c>
      <c r="N16" s="125" t="s">
        <v>386</v>
      </c>
      <c r="O16" s="127">
        <v>45034.817511574074</v>
      </c>
      <c r="P16" s="128">
        <v>186.2</v>
      </c>
      <c r="Q16" s="125" t="s">
        <v>376</v>
      </c>
      <c r="R16" s="128">
        <v>3.7240000000000002</v>
      </c>
      <c r="S16" s="128">
        <v>1.988</v>
      </c>
      <c r="T16" s="128">
        <v>1.87</v>
      </c>
      <c r="U16" s="128">
        <v>1.44</v>
      </c>
      <c r="V16" s="125"/>
    </row>
    <row r="17" spans="1:22" ht="14" thickBot="1" x14ac:dyDescent="0.4">
      <c r="A17" s="131" t="s">
        <v>25</v>
      </c>
      <c r="B17" s="122" t="s">
        <v>20</v>
      </c>
      <c r="C17" s="122" t="s">
        <v>19</v>
      </c>
      <c r="D17" s="113" t="s">
        <v>475</v>
      </c>
      <c r="E17" s="113" t="s">
        <v>372</v>
      </c>
      <c r="F17" s="146" t="str">
        <f t="shared" si="0"/>
        <v>112 bk</v>
      </c>
      <c r="G17" s="123">
        <v>112</v>
      </c>
      <c r="H17" s="124">
        <v>8</v>
      </c>
      <c r="I17" s="125" t="s">
        <v>373</v>
      </c>
      <c r="J17" s="125"/>
      <c r="K17" s="125" t="s">
        <v>374</v>
      </c>
      <c r="L17" s="113">
        <v>2</v>
      </c>
      <c r="M17" s="126">
        <v>45078</v>
      </c>
      <c r="N17" s="125" t="s">
        <v>420</v>
      </c>
      <c r="O17" s="127">
        <v>45079.469155092593</v>
      </c>
      <c r="P17" s="128">
        <v>278.39999999999998</v>
      </c>
      <c r="Q17" s="125" t="s">
        <v>376</v>
      </c>
      <c r="R17" s="128">
        <v>5.5679999999999996</v>
      </c>
      <c r="S17" s="128">
        <v>2.9769999999999999</v>
      </c>
      <c r="T17" s="128">
        <v>1.87</v>
      </c>
      <c r="U17" s="128">
        <v>0.93</v>
      </c>
      <c r="V17" s="125"/>
    </row>
    <row r="18" spans="1:22" ht="14" thickBot="1" x14ac:dyDescent="0.4">
      <c r="A18" s="121" t="s">
        <v>21</v>
      </c>
      <c r="B18" s="122" t="s">
        <v>20</v>
      </c>
      <c r="C18" s="122" t="s">
        <v>19</v>
      </c>
      <c r="D18" s="113" t="s">
        <v>494</v>
      </c>
      <c r="E18" s="113" t="s">
        <v>372</v>
      </c>
      <c r="F18" s="146" t="str">
        <f t="shared" si="0"/>
        <v>128 bk</v>
      </c>
      <c r="G18" s="123">
        <v>128</v>
      </c>
      <c r="H18" s="124">
        <v>8</v>
      </c>
      <c r="I18" s="125" t="s">
        <v>373</v>
      </c>
      <c r="J18" s="125"/>
      <c r="K18" s="125" t="s">
        <v>374</v>
      </c>
      <c r="L18" s="113">
        <v>2</v>
      </c>
      <c r="M18" s="126">
        <v>45078</v>
      </c>
      <c r="N18" s="125" t="s">
        <v>420</v>
      </c>
      <c r="O18" s="127">
        <v>45079.464143518519</v>
      </c>
      <c r="P18" s="128">
        <v>201.4</v>
      </c>
      <c r="Q18" s="125" t="s">
        <v>376</v>
      </c>
      <c r="R18" s="128">
        <v>4.0270000000000001</v>
      </c>
      <c r="S18" s="128">
        <v>2.1629999999999998</v>
      </c>
      <c r="T18" s="128">
        <v>1.86</v>
      </c>
      <c r="U18" s="128">
        <v>1</v>
      </c>
      <c r="V18" s="125"/>
    </row>
    <row r="19" spans="1:22" ht="14" thickBot="1" x14ac:dyDescent="0.4">
      <c r="A19" s="131" t="s">
        <v>25</v>
      </c>
      <c r="B19" s="122" t="s">
        <v>20</v>
      </c>
      <c r="C19" s="122" t="s">
        <v>19</v>
      </c>
      <c r="D19" s="113" t="s">
        <v>502</v>
      </c>
      <c r="E19" s="113" t="s">
        <v>372</v>
      </c>
      <c r="F19" s="146" t="str">
        <f t="shared" si="0"/>
        <v>132 bk</v>
      </c>
      <c r="G19" s="123">
        <v>132</v>
      </c>
      <c r="H19" s="124">
        <v>7</v>
      </c>
      <c r="I19" s="125" t="s">
        <v>373</v>
      </c>
      <c r="J19" s="125"/>
      <c r="K19" s="125" t="s">
        <v>374</v>
      </c>
      <c r="L19" s="113">
        <v>2</v>
      </c>
      <c r="M19" s="126">
        <v>45036</v>
      </c>
      <c r="N19" s="125" t="s">
        <v>386</v>
      </c>
      <c r="O19" s="127">
        <v>45036.823854166665</v>
      </c>
      <c r="P19" s="128">
        <v>365.9</v>
      </c>
      <c r="Q19" s="125" t="s">
        <v>376</v>
      </c>
      <c r="R19" s="128">
        <v>7.3179999999999996</v>
      </c>
      <c r="S19" s="128">
        <v>3.8809999999999998</v>
      </c>
      <c r="T19" s="128">
        <v>1.89</v>
      </c>
      <c r="U19" s="128">
        <v>1.95</v>
      </c>
      <c r="V19" s="125"/>
    </row>
    <row r="20" spans="1:22" ht="14" thickBot="1" x14ac:dyDescent="0.4">
      <c r="A20" s="121" t="s">
        <v>21</v>
      </c>
      <c r="B20" s="122" t="s">
        <v>20</v>
      </c>
      <c r="C20" s="122" t="s">
        <v>19</v>
      </c>
      <c r="D20" s="113" t="s">
        <v>504</v>
      </c>
      <c r="E20" s="113" t="s">
        <v>372</v>
      </c>
      <c r="F20" s="146" t="str">
        <f t="shared" si="0"/>
        <v>133 bk</v>
      </c>
      <c r="G20" s="123">
        <v>133</v>
      </c>
      <c r="H20" s="124">
        <v>8</v>
      </c>
      <c r="I20" s="125" t="s">
        <v>373</v>
      </c>
      <c r="J20" s="125"/>
      <c r="K20" s="125" t="s">
        <v>374</v>
      </c>
      <c r="L20" s="113">
        <v>2</v>
      </c>
      <c r="M20" s="126">
        <v>45078</v>
      </c>
      <c r="N20" s="125" t="s">
        <v>420</v>
      </c>
      <c r="O20" s="127">
        <v>45079.47011574074</v>
      </c>
      <c r="P20" s="128">
        <v>246.2</v>
      </c>
      <c r="Q20" s="125" t="s">
        <v>376</v>
      </c>
      <c r="R20" s="128">
        <v>4.9249999999999998</v>
      </c>
      <c r="S20" s="128">
        <v>2.6619999999999999</v>
      </c>
      <c r="T20" s="128">
        <v>1.85</v>
      </c>
      <c r="U20" s="128">
        <v>1.53</v>
      </c>
      <c r="V20" s="125"/>
    </row>
    <row r="21" spans="1:22" ht="14" thickBot="1" x14ac:dyDescent="0.4">
      <c r="A21" s="121" t="s">
        <v>21</v>
      </c>
      <c r="B21" s="122" t="s">
        <v>20</v>
      </c>
      <c r="C21" s="122" t="s">
        <v>19</v>
      </c>
      <c r="D21" s="113" t="s">
        <v>506</v>
      </c>
      <c r="E21" s="113" t="s">
        <v>372</v>
      </c>
      <c r="F21" s="146" t="str">
        <f t="shared" si="0"/>
        <v>140 bk</v>
      </c>
      <c r="G21" s="123">
        <v>140</v>
      </c>
      <c r="H21" s="124">
        <v>7</v>
      </c>
      <c r="I21" s="125" t="s">
        <v>373</v>
      </c>
      <c r="J21" s="125"/>
      <c r="K21" s="125" t="s">
        <v>374</v>
      </c>
      <c r="L21" s="113">
        <v>2</v>
      </c>
      <c r="M21" s="126">
        <v>45036</v>
      </c>
      <c r="N21" s="125" t="s">
        <v>386</v>
      </c>
      <c r="O21" s="127">
        <v>45036.825486111113</v>
      </c>
      <c r="P21" s="128">
        <v>341.4</v>
      </c>
      <c r="Q21" s="125" t="s">
        <v>376</v>
      </c>
      <c r="R21" s="128">
        <v>6.827</v>
      </c>
      <c r="S21" s="128">
        <v>3.6280000000000001</v>
      </c>
      <c r="T21" s="128">
        <v>1.88</v>
      </c>
      <c r="U21" s="128">
        <v>1.97</v>
      </c>
      <c r="V21" s="125"/>
    </row>
    <row r="22" spans="1:22" ht="14" thickBot="1" x14ac:dyDescent="0.4">
      <c r="A22" s="121" t="s">
        <v>21</v>
      </c>
      <c r="B22" s="122" t="s">
        <v>20</v>
      </c>
      <c r="C22" s="129" t="s">
        <v>121</v>
      </c>
      <c r="D22" s="113" t="s">
        <v>521</v>
      </c>
      <c r="E22" s="113" t="s">
        <v>372</v>
      </c>
      <c r="F22" s="146" t="str">
        <f t="shared" si="0"/>
        <v>1018 bk</v>
      </c>
      <c r="G22" s="123">
        <v>1018</v>
      </c>
      <c r="H22" s="124">
        <v>1</v>
      </c>
      <c r="I22" s="125" t="s">
        <v>373</v>
      </c>
      <c r="J22" s="125"/>
      <c r="K22" s="125" t="s">
        <v>374</v>
      </c>
      <c r="L22" s="113">
        <v>1</v>
      </c>
      <c r="M22" s="126">
        <v>45006</v>
      </c>
      <c r="N22" s="125" t="s">
        <v>375</v>
      </c>
      <c r="O22" s="127">
        <v>45007.416412037041</v>
      </c>
      <c r="P22" s="128">
        <v>147.4</v>
      </c>
      <c r="Q22" s="125" t="s">
        <v>376</v>
      </c>
      <c r="R22" s="128">
        <v>2.948</v>
      </c>
      <c r="S22" s="128">
        <v>1.548</v>
      </c>
      <c r="T22" s="128">
        <v>1.9</v>
      </c>
      <c r="U22" s="128">
        <v>0.87</v>
      </c>
      <c r="V22" s="125"/>
    </row>
    <row r="23" spans="1:22" ht="14" thickBot="1" x14ac:dyDescent="0.4">
      <c r="A23" s="131" t="s">
        <v>25</v>
      </c>
      <c r="B23" s="122" t="s">
        <v>20</v>
      </c>
      <c r="C23" s="129" t="s">
        <v>121</v>
      </c>
      <c r="D23" s="113" t="s">
        <v>523</v>
      </c>
      <c r="E23" s="113" t="s">
        <v>372</v>
      </c>
      <c r="F23" s="146" t="str">
        <f t="shared" si="0"/>
        <v>1020 bk</v>
      </c>
      <c r="G23" s="123">
        <v>1020</v>
      </c>
      <c r="H23" s="124">
        <v>2</v>
      </c>
      <c r="I23" s="125" t="s">
        <v>373</v>
      </c>
      <c r="J23" s="125"/>
      <c r="K23" s="125" t="s">
        <v>374</v>
      </c>
      <c r="L23" s="113">
        <v>1</v>
      </c>
      <c r="M23" s="126">
        <v>45008</v>
      </c>
      <c r="N23" s="125" t="s">
        <v>386</v>
      </c>
      <c r="O23" s="127">
        <v>45009.816655092596</v>
      </c>
      <c r="P23" s="128">
        <v>211.1</v>
      </c>
      <c r="Q23" s="125" t="s">
        <v>376</v>
      </c>
      <c r="R23" s="128">
        <v>4.2220000000000004</v>
      </c>
      <c r="S23" s="128">
        <v>2.2120000000000002</v>
      </c>
      <c r="T23" s="128">
        <v>1.91</v>
      </c>
      <c r="U23" s="128">
        <v>0.47</v>
      </c>
      <c r="V23" s="125"/>
    </row>
    <row r="24" spans="1:22" ht="14" thickBot="1" x14ac:dyDescent="0.4">
      <c r="A24" s="131" t="s">
        <v>25</v>
      </c>
      <c r="B24" s="130" t="s">
        <v>39</v>
      </c>
      <c r="C24" s="129" t="s">
        <v>121</v>
      </c>
      <c r="D24" s="113" t="s">
        <v>529</v>
      </c>
      <c r="E24" s="113" t="s">
        <v>372</v>
      </c>
      <c r="F24" s="146" t="str">
        <f t="shared" si="0"/>
        <v>1024 bk</v>
      </c>
      <c r="G24" s="123">
        <v>1024</v>
      </c>
      <c r="H24" s="124">
        <v>1</v>
      </c>
      <c r="I24" s="125" t="s">
        <v>373</v>
      </c>
      <c r="J24" s="125"/>
      <c r="K24" s="125" t="s">
        <v>374</v>
      </c>
      <c r="L24" s="113">
        <v>1</v>
      </c>
      <c r="M24" s="126">
        <v>45006</v>
      </c>
      <c r="N24" s="125" t="s">
        <v>375</v>
      </c>
      <c r="O24" s="127">
        <v>45007.41878472222</v>
      </c>
      <c r="P24" s="128">
        <v>209.6</v>
      </c>
      <c r="Q24" s="125" t="s">
        <v>376</v>
      </c>
      <c r="R24" s="128">
        <v>4.1909999999999998</v>
      </c>
      <c r="S24" s="128">
        <v>2.2029999999999998</v>
      </c>
      <c r="T24" s="128">
        <v>1.9</v>
      </c>
      <c r="U24" s="128">
        <v>0.98</v>
      </c>
      <c r="V24" s="125"/>
    </row>
    <row r="25" spans="1:22" ht="14" thickBot="1" x14ac:dyDescent="0.4">
      <c r="A25" s="121" t="s">
        <v>21</v>
      </c>
      <c r="B25" s="130" t="s">
        <v>39</v>
      </c>
      <c r="C25" s="129" t="s">
        <v>121</v>
      </c>
      <c r="D25" s="113" t="s">
        <v>531</v>
      </c>
      <c r="E25" s="113" t="s">
        <v>372</v>
      </c>
      <c r="F25" s="146" t="str">
        <f t="shared" si="0"/>
        <v>1026 bk</v>
      </c>
      <c r="G25" s="123">
        <v>1026</v>
      </c>
      <c r="H25" s="124">
        <v>1</v>
      </c>
      <c r="I25" s="125" t="s">
        <v>373</v>
      </c>
      <c r="J25" s="125"/>
      <c r="K25" s="125" t="s">
        <v>374</v>
      </c>
      <c r="L25" s="113">
        <v>1</v>
      </c>
      <c r="M25" s="126">
        <v>45006</v>
      </c>
      <c r="N25" s="125" t="s">
        <v>375</v>
      </c>
      <c r="O25" s="127">
        <v>45007.419976851852</v>
      </c>
      <c r="P25" s="128">
        <v>166.8</v>
      </c>
      <c r="Q25" s="125" t="s">
        <v>376</v>
      </c>
      <c r="R25" s="128">
        <v>3.335</v>
      </c>
      <c r="S25" s="128">
        <v>1.76</v>
      </c>
      <c r="T25" s="128">
        <v>1.89</v>
      </c>
      <c r="U25" s="128">
        <v>0.94</v>
      </c>
      <c r="V25" s="125"/>
    </row>
    <row r="26" spans="1:22" ht="14" thickBot="1" x14ac:dyDescent="0.4">
      <c r="A26" s="121" t="s">
        <v>21</v>
      </c>
      <c r="B26" s="122" t="s">
        <v>20</v>
      </c>
      <c r="C26" s="129" t="s">
        <v>121</v>
      </c>
      <c r="D26" s="113" t="s">
        <v>533</v>
      </c>
      <c r="E26" s="113" t="s">
        <v>372</v>
      </c>
      <c r="F26" s="146" t="str">
        <f t="shared" si="0"/>
        <v>1028 bk</v>
      </c>
      <c r="G26" s="123">
        <v>1028</v>
      </c>
      <c r="H26" s="124">
        <v>1</v>
      </c>
      <c r="I26" s="125" t="s">
        <v>373</v>
      </c>
      <c r="J26" s="125"/>
      <c r="K26" s="125" t="s">
        <v>374</v>
      </c>
      <c r="L26" s="113">
        <v>1</v>
      </c>
      <c r="M26" s="126">
        <v>45006</v>
      </c>
      <c r="N26" s="125" t="s">
        <v>375</v>
      </c>
      <c r="O26" s="127">
        <v>45007.421342592592</v>
      </c>
      <c r="P26" s="128">
        <v>165.8</v>
      </c>
      <c r="Q26" s="125" t="s">
        <v>376</v>
      </c>
      <c r="R26" s="128">
        <v>3.3149999999999999</v>
      </c>
      <c r="S26" s="128">
        <v>1.752</v>
      </c>
      <c r="T26" s="128">
        <v>1.89</v>
      </c>
      <c r="U26" s="128">
        <v>0.71</v>
      </c>
      <c r="V26" s="125"/>
    </row>
    <row r="27" spans="1:22" ht="14" thickBot="1" x14ac:dyDescent="0.4">
      <c r="A27" s="131" t="s">
        <v>25</v>
      </c>
      <c r="B27" s="122" t="s">
        <v>20</v>
      </c>
      <c r="C27" s="129" t="s">
        <v>121</v>
      </c>
      <c r="D27" s="113" t="s">
        <v>535</v>
      </c>
      <c r="E27" s="113" t="s">
        <v>372</v>
      </c>
      <c r="F27" s="146" t="str">
        <f t="shared" si="0"/>
        <v>1030 bk</v>
      </c>
      <c r="G27" s="123">
        <v>1030</v>
      </c>
      <c r="H27" s="124">
        <v>1</v>
      </c>
      <c r="I27" s="125" t="s">
        <v>373</v>
      </c>
      <c r="J27" s="125"/>
      <c r="K27" s="125" t="s">
        <v>374</v>
      </c>
      <c r="L27" s="113">
        <v>1</v>
      </c>
      <c r="M27" s="126">
        <v>45006</v>
      </c>
      <c r="N27" s="125" t="s">
        <v>375</v>
      </c>
      <c r="O27" s="127">
        <v>45007.422511574077</v>
      </c>
      <c r="P27" s="128">
        <v>143.30000000000001</v>
      </c>
      <c r="Q27" s="125" t="s">
        <v>376</v>
      </c>
      <c r="R27" s="128">
        <v>2.8650000000000002</v>
      </c>
      <c r="S27" s="128">
        <v>1.51</v>
      </c>
      <c r="T27" s="128">
        <v>1.9</v>
      </c>
      <c r="U27" s="128">
        <v>0.81</v>
      </c>
      <c r="V27" s="125"/>
    </row>
    <row r="28" spans="1:22" ht="14" thickBot="1" x14ac:dyDescent="0.4">
      <c r="A28" s="131" t="s">
        <v>25</v>
      </c>
      <c r="B28" s="130" t="s">
        <v>39</v>
      </c>
      <c r="C28" s="129" t="s">
        <v>121</v>
      </c>
      <c r="D28" s="113" t="s">
        <v>541</v>
      </c>
      <c r="E28" s="113" t="s">
        <v>372</v>
      </c>
      <c r="F28" s="146" t="str">
        <f t="shared" si="0"/>
        <v>1034 bk</v>
      </c>
      <c r="G28" s="123">
        <v>1034</v>
      </c>
      <c r="H28" s="124">
        <v>1</v>
      </c>
      <c r="I28" s="125" t="s">
        <v>373</v>
      </c>
      <c r="J28" s="125"/>
      <c r="K28" s="125" t="s">
        <v>374</v>
      </c>
      <c r="L28" s="113">
        <v>1</v>
      </c>
      <c r="M28" s="126">
        <v>45006</v>
      </c>
      <c r="N28" s="125" t="s">
        <v>375</v>
      </c>
      <c r="O28" s="127">
        <v>45007.423321759263</v>
      </c>
      <c r="P28" s="128">
        <v>148.1</v>
      </c>
      <c r="Q28" s="125" t="s">
        <v>376</v>
      </c>
      <c r="R28" s="128">
        <v>2.9609999999999999</v>
      </c>
      <c r="S28" s="128">
        <v>1.5489999999999999</v>
      </c>
      <c r="T28" s="128">
        <v>1.91</v>
      </c>
      <c r="U28" s="132">
        <v>0.28999999999999998</v>
      </c>
      <c r="V28" s="125"/>
    </row>
    <row r="29" spans="1:22" ht="14" thickBot="1" x14ac:dyDescent="0.4">
      <c r="A29" s="121" t="s">
        <v>21</v>
      </c>
      <c r="B29" s="122" t="s">
        <v>20</v>
      </c>
      <c r="C29" s="129" t="s">
        <v>121</v>
      </c>
      <c r="D29" s="113" t="s">
        <v>543</v>
      </c>
      <c r="E29" s="113" t="s">
        <v>372</v>
      </c>
      <c r="F29" s="146" t="str">
        <f t="shared" si="0"/>
        <v>1040 bk</v>
      </c>
      <c r="G29" s="123">
        <v>1040</v>
      </c>
      <c r="H29" s="124">
        <v>1</v>
      </c>
      <c r="I29" s="125" t="s">
        <v>373</v>
      </c>
      <c r="J29" s="125"/>
      <c r="K29" s="125" t="s">
        <v>374</v>
      </c>
      <c r="L29" s="113">
        <v>1</v>
      </c>
      <c r="M29" s="126">
        <v>45006</v>
      </c>
      <c r="N29" s="125" t="s">
        <v>375</v>
      </c>
      <c r="O29" s="127">
        <v>45007.424791666665</v>
      </c>
      <c r="P29" s="128">
        <v>235.4</v>
      </c>
      <c r="Q29" s="125" t="s">
        <v>376</v>
      </c>
      <c r="R29" s="128">
        <v>4.7089999999999996</v>
      </c>
      <c r="S29" s="128">
        <v>2.4750000000000001</v>
      </c>
      <c r="T29" s="128">
        <v>1.9</v>
      </c>
      <c r="U29" s="128">
        <v>1.47</v>
      </c>
      <c r="V29" s="125"/>
    </row>
    <row r="30" spans="1:22" ht="14" thickBot="1" x14ac:dyDescent="0.4">
      <c r="A30" s="131" t="s">
        <v>25</v>
      </c>
      <c r="B30" s="130" t="s">
        <v>39</v>
      </c>
      <c r="C30" s="129" t="s">
        <v>121</v>
      </c>
      <c r="D30" s="113" t="s">
        <v>550</v>
      </c>
      <c r="E30" s="113" t="s">
        <v>372</v>
      </c>
      <c r="F30" s="146" t="str">
        <f t="shared" si="0"/>
        <v>1048 bk</v>
      </c>
      <c r="G30" s="123">
        <v>1048</v>
      </c>
      <c r="H30" s="124">
        <v>2</v>
      </c>
      <c r="I30" s="125" t="s">
        <v>373</v>
      </c>
      <c r="J30" s="125"/>
      <c r="K30" s="125" t="s">
        <v>374</v>
      </c>
      <c r="L30" s="113">
        <v>1</v>
      </c>
      <c r="M30" s="126">
        <v>45008</v>
      </c>
      <c r="N30" s="125" t="s">
        <v>386</v>
      </c>
      <c r="O30" s="127">
        <v>45009.81790509259</v>
      </c>
      <c r="P30" s="128">
        <v>185.7</v>
      </c>
      <c r="Q30" s="125" t="s">
        <v>376</v>
      </c>
      <c r="R30" s="128">
        <v>3.7130000000000001</v>
      </c>
      <c r="S30" s="128">
        <v>1.93</v>
      </c>
      <c r="T30" s="128">
        <v>1.92</v>
      </c>
      <c r="U30" s="128">
        <v>0.53</v>
      </c>
      <c r="V30" s="125"/>
    </row>
    <row r="31" spans="1:22" ht="14" thickBot="1" x14ac:dyDescent="0.4">
      <c r="A31" s="131" t="s">
        <v>25</v>
      </c>
      <c r="B31" s="122" t="s">
        <v>20</v>
      </c>
      <c r="C31" s="129" t="s">
        <v>121</v>
      </c>
      <c r="D31" s="113" t="s">
        <v>552</v>
      </c>
      <c r="E31" s="113" t="s">
        <v>372</v>
      </c>
      <c r="F31" s="146" t="str">
        <f t="shared" si="0"/>
        <v>1056 bk</v>
      </c>
      <c r="G31" s="123">
        <v>1056</v>
      </c>
      <c r="H31" s="124">
        <v>3</v>
      </c>
      <c r="I31" s="125" t="s">
        <v>373</v>
      </c>
      <c r="J31" s="125"/>
      <c r="K31" s="125" t="s">
        <v>374</v>
      </c>
      <c r="L31" s="113">
        <v>1</v>
      </c>
      <c r="M31" s="126">
        <v>45013</v>
      </c>
      <c r="N31" s="125" t="s">
        <v>392</v>
      </c>
      <c r="O31" s="127">
        <v>45013.626388888886</v>
      </c>
      <c r="P31" s="128">
        <v>137.30000000000001</v>
      </c>
      <c r="Q31" s="125" t="s">
        <v>376</v>
      </c>
      <c r="R31" s="128">
        <v>2.746</v>
      </c>
      <c r="S31" s="128">
        <v>1.464</v>
      </c>
      <c r="T31" s="128">
        <v>1.87</v>
      </c>
      <c r="U31" s="128">
        <v>1.81</v>
      </c>
      <c r="V31" s="125"/>
    </row>
    <row r="32" spans="1:22" ht="14" thickBot="1" x14ac:dyDescent="0.4">
      <c r="A32" s="131" t="s">
        <v>25</v>
      </c>
      <c r="B32" s="130" t="s">
        <v>39</v>
      </c>
      <c r="C32" s="129" t="s">
        <v>121</v>
      </c>
      <c r="D32" s="113" t="s">
        <v>570</v>
      </c>
      <c r="E32" s="113" t="s">
        <v>372</v>
      </c>
      <c r="F32" s="146" t="str">
        <f t="shared" si="0"/>
        <v>1072 bk</v>
      </c>
      <c r="G32" s="123">
        <v>1072</v>
      </c>
      <c r="H32" s="124">
        <v>3</v>
      </c>
      <c r="I32" s="125" t="s">
        <v>373</v>
      </c>
      <c r="J32" s="125"/>
      <c r="K32" s="125" t="s">
        <v>374</v>
      </c>
      <c r="L32" s="113">
        <v>1</v>
      </c>
      <c r="M32" s="126">
        <v>45013</v>
      </c>
      <c r="N32" s="125" t="s">
        <v>392</v>
      </c>
      <c r="O32" s="127">
        <v>45013.62777777778</v>
      </c>
      <c r="P32" s="128">
        <v>119.9</v>
      </c>
      <c r="Q32" s="125" t="s">
        <v>376</v>
      </c>
      <c r="R32" s="128">
        <v>2.399</v>
      </c>
      <c r="S32" s="128">
        <v>1.2869999999999999</v>
      </c>
      <c r="T32" s="128">
        <v>1.86</v>
      </c>
      <c r="U32" s="128">
        <v>1.95</v>
      </c>
      <c r="V32" s="125"/>
    </row>
    <row r="33" spans="1:22" ht="14" thickBot="1" x14ac:dyDescent="0.4">
      <c r="A33" s="121" t="s">
        <v>21</v>
      </c>
      <c r="B33" s="130" t="s">
        <v>39</v>
      </c>
      <c r="C33" s="129" t="s">
        <v>121</v>
      </c>
      <c r="D33" s="113" t="s">
        <v>576</v>
      </c>
      <c r="E33" s="113" t="s">
        <v>372</v>
      </c>
      <c r="F33" s="146" t="str">
        <f t="shared" si="0"/>
        <v>1076 bk</v>
      </c>
      <c r="G33" s="123">
        <v>1076</v>
      </c>
      <c r="H33" s="124">
        <v>2</v>
      </c>
      <c r="I33" s="125" t="s">
        <v>373</v>
      </c>
      <c r="J33" s="125"/>
      <c r="K33" s="125" t="s">
        <v>374</v>
      </c>
      <c r="L33" s="113">
        <v>1</v>
      </c>
      <c r="M33" s="126">
        <v>45008</v>
      </c>
      <c r="N33" s="125" t="s">
        <v>386</v>
      </c>
      <c r="O33" s="127">
        <v>45009.821400462963</v>
      </c>
      <c r="P33" s="128">
        <v>204</v>
      </c>
      <c r="Q33" s="125" t="s">
        <v>376</v>
      </c>
      <c r="R33" s="128">
        <v>4.0789999999999997</v>
      </c>
      <c r="S33" s="128">
        <v>2.133</v>
      </c>
      <c r="T33" s="128">
        <v>1.91</v>
      </c>
      <c r="U33" s="128">
        <v>0.72</v>
      </c>
      <c r="V33" s="125"/>
    </row>
    <row r="34" spans="1:22" ht="14" thickBot="1" x14ac:dyDescent="0.4">
      <c r="A34" s="121" t="s">
        <v>21</v>
      </c>
      <c r="B34" s="122" t="s">
        <v>20</v>
      </c>
      <c r="C34" s="129" t="s">
        <v>121</v>
      </c>
      <c r="D34" s="113" t="s">
        <v>578</v>
      </c>
      <c r="E34" s="113" t="s">
        <v>372</v>
      </c>
      <c r="F34" s="146" t="str">
        <f t="shared" si="0"/>
        <v>1080 bk</v>
      </c>
      <c r="G34" s="123">
        <v>1080</v>
      </c>
      <c r="H34" s="124">
        <v>3</v>
      </c>
      <c r="I34" s="125" t="s">
        <v>373</v>
      </c>
      <c r="J34" s="125"/>
      <c r="K34" s="125" t="s">
        <v>374</v>
      </c>
      <c r="L34" s="113">
        <v>1</v>
      </c>
      <c r="M34" s="126">
        <v>45013</v>
      </c>
      <c r="N34" s="125" t="s">
        <v>392</v>
      </c>
      <c r="O34" s="127">
        <v>45013.628472222219</v>
      </c>
      <c r="P34" s="128">
        <v>130.4</v>
      </c>
      <c r="Q34" s="125" t="s">
        <v>376</v>
      </c>
      <c r="R34" s="128">
        <v>2.6070000000000002</v>
      </c>
      <c r="S34" s="128">
        <v>1.3919999999999999</v>
      </c>
      <c r="T34" s="128">
        <v>1.87</v>
      </c>
      <c r="U34" s="128">
        <v>1.17</v>
      </c>
      <c r="V34" s="125"/>
    </row>
    <row r="35" spans="1:22" ht="14" thickBot="1" x14ac:dyDescent="0.4">
      <c r="A35" s="131" t="s">
        <v>25</v>
      </c>
      <c r="B35" s="130" t="s">
        <v>39</v>
      </c>
      <c r="C35" s="129" t="s">
        <v>121</v>
      </c>
      <c r="D35" s="113" t="s">
        <v>585</v>
      </c>
      <c r="E35" s="113" t="s">
        <v>372</v>
      </c>
      <c r="F35" s="146" t="str">
        <f t="shared" si="0"/>
        <v>1088 bk</v>
      </c>
      <c r="G35" s="123">
        <v>1088</v>
      </c>
      <c r="H35" s="124">
        <v>4</v>
      </c>
      <c r="I35" s="125" t="s">
        <v>373</v>
      </c>
      <c r="J35" s="125"/>
      <c r="K35" s="125" t="s">
        <v>374</v>
      </c>
      <c r="L35" s="113">
        <v>1</v>
      </c>
      <c r="M35" s="126">
        <v>45014</v>
      </c>
      <c r="N35" s="125" t="s">
        <v>392</v>
      </c>
      <c r="O35" s="127">
        <v>45014.60833333333</v>
      </c>
      <c r="P35" s="128">
        <v>206</v>
      </c>
      <c r="Q35" s="125" t="s">
        <v>376</v>
      </c>
      <c r="R35" s="128">
        <v>4.12</v>
      </c>
      <c r="S35" s="128">
        <v>2.2109999999999999</v>
      </c>
      <c r="T35" s="128">
        <v>1.86</v>
      </c>
      <c r="U35" s="128">
        <v>1.44</v>
      </c>
      <c r="V35" s="125"/>
    </row>
    <row r="36" spans="1:22" ht="14" thickBot="1" x14ac:dyDescent="0.4">
      <c r="A36" s="121" t="s">
        <v>21</v>
      </c>
      <c r="B36" s="130" t="s">
        <v>39</v>
      </c>
      <c r="C36" s="129" t="s">
        <v>121</v>
      </c>
      <c r="D36" s="113" t="s">
        <v>587</v>
      </c>
      <c r="E36" s="113" t="s">
        <v>372</v>
      </c>
      <c r="F36" s="146" t="str">
        <f t="shared" si="0"/>
        <v>1092 bk</v>
      </c>
      <c r="G36" s="123">
        <v>1092</v>
      </c>
      <c r="H36" s="124">
        <v>3</v>
      </c>
      <c r="I36" s="125" t="s">
        <v>373</v>
      </c>
      <c r="J36" s="125"/>
      <c r="K36" s="125" t="s">
        <v>374</v>
      </c>
      <c r="L36" s="113">
        <v>1</v>
      </c>
      <c r="M36" s="126">
        <v>45013</v>
      </c>
      <c r="N36" s="125" t="s">
        <v>392</v>
      </c>
      <c r="O36" s="127">
        <v>45013.629166666666</v>
      </c>
      <c r="P36" s="128">
        <v>132.9</v>
      </c>
      <c r="Q36" s="125" t="s">
        <v>376</v>
      </c>
      <c r="R36" s="128">
        <v>2.657</v>
      </c>
      <c r="S36" s="128">
        <v>1.4119999999999999</v>
      </c>
      <c r="T36" s="128">
        <v>1.88</v>
      </c>
      <c r="U36" s="128">
        <v>2.0499999999999998</v>
      </c>
      <c r="V36" s="125"/>
    </row>
    <row r="37" spans="1:22" ht="14" thickBot="1" x14ac:dyDescent="0.4">
      <c r="A37" s="121" t="s">
        <v>21</v>
      </c>
      <c r="B37" s="122" t="s">
        <v>20</v>
      </c>
      <c r="C37" s="129" t="s">
        <v>121</v>
      </c>
      <c r="D37" s="113" t="s">
        <v>589</v>
      </c>
      <c r="E37" s="113" t="s">
        <v>372</v>
      </c>
      <c r="F37" s="146" t="str">
        <f t="shared" si="0"/>
        <v>1094 bk</v>
      </c>
      <c r="G37" s="123">
        <v>1094</v>
      </c>
      <c r="H37" s="124">
        <v>4</v>
      </c>
      <c r="I37" s="125" t="s">
        <v>373</v>
      </c>
      <c r="J37" s="125"/>
      <c r="K37" s="125" t="s">
        <v>374</v>
      </c>
      <c r="L37" s="113">
        <v>1</v>
      </c>
      <c r="M37" s="126">
        <v>45014</v>
      </c>
      <c r="N37" s="125" t="s">
        <v>392</v>
      </c>
      <c r="O37" s="127">
        <v>45014.609027777777</v>
      </c>
      <c r="P37" s="128">
        <v>84.6</v>
      </c>
      <c r="Q37" s="125" t="s">
        <v>376</v>
      </c>
      <c r="R37" s="128">
        <v>1.6919999999999999</v>
      </c>
      <c r="S37" s="128">
        <v>0.91300000000000003</v>
      </c>
      <c r="T37" s="128">
        <v>1.85</v>
      </c>
      <c r="U37" s="128">
        <v>0.81</v>
      </c>
      <c r="V37" s="125"/>
    </row>
    <row r="38" spans="1:22" ht="14" thickBot="1" x14ac:dyDescent="0.4">
      <c r="A38" s="131" t="s">
        <v>25</v>
      </c>
      <c r="B38" s="122" t="s">
        <v>20</v>
      </c>
      <c r="C38" s="129" t="s">
        <v>121</v>
      </c>
      <c r="D38" s="113" t="s">
        <v>595</v>
      </c>
      <c r="E38" s="113" t="s">
        <v>372</v>
      </c>
      <c r="F38" s="146" t="str">
        <f t="shared" si="0"/>
        <v>1098 bk</v>
      </c>
      <c r="G38" s="123">
        <v>1098</v>
      </c>
      <c r="H38" s="124">
        <v>6</v>
      </c>
      <c r="I38" s="125" t="s">
        <v>373</v>
      </c>
      <c r="J38" s="125"/>
      <c r="K38" s="125" t="s">
        <v>374</v>
      </c>
      <c r="L38" s="113">
        <v>2</v>
      </c>
      <c r="M38" s="126">
        <v>45034</v>
      </c>
      <c r="N38" s="125" t="s">
        <v>386</v>
      </c>
      <c r="O38" s="127">
        <v>45034.82304398148</v>
      </c>
      <c r="P38" s="128">
        <v>236.7</v>
      </c>
      <c r="Q38" s="125" t="s">
        <v>376</v>
      </c>
      <c r="R38" s="128">
        <v>4.734</v>
      </c>
      <c r="S38" s="128">
        <v>2.5099999999999998</v>
      </c>
      <c r="T38" s="128">
        <v>1.89</v>
      </c>
      <c r="U38" s="128">
        <v>1.76</v>
      </c>
      <c r="V38" s="125"/>
    </row>
    <row r="39" spans="1:22" ht="14" thickBot="1" x14ac:dyDescent="0.4">
      <c r="A39" s="121" t="s">
        <v>21</v>
      </c>
      <c r="B39" s="130" t="s">
        <v>39</v>
      </c>
      <c r="C39" s="129" t="s">
        <v>121</v>
      </c>
      <c r="D39" s="113" t="s">
        <v>601</v>
      </c>
      <c r="E39" s="113" t="s">
        <v>372</v>
      </c>
      <c r="F39" s="146" t="str">
        <f t="shared" si="0"/>
        <v>1106 bk</v>
      </c>
      <c r="G39" s="123">
        <v>1106</v>
      </c>
      <c r="H39" s="124">
        <v>5</v>
      </c>
      <c r="I39" s="125" t="s">
        <v>373</v>
      </c>
      <c r="J39" s="125"/>
      <c r="K39" s="125" t="s">
        <v>374</v>
      </c>
      <c r="L39" s="113">
        <v>2</v>
      </c>
      <c r="M39" s="126">
        <v>45019</v>
      </c>
      <c r="N39" s="125" t="s">
        <v>392</v>
      </c>
      <c r="O39" s="127">
        <v>45019.615104166667</v>
      </c>
      <c r="P39" s="128">
        <v>148.30000000000001</v>
      </c>
      <c r="Q39" s="125" t="s">
        <v>376</v>
      </c>
      <c r="R39" s="128">
        <v>2.9670000000000001</v>
      </c>
      <c r="S39" s="128">
        <v>1.5669999999999999</v>
      </c>
      <c r="T39" s="128">
        <v>1.89</v>
      </c>
      <c r="U39" s="128">
        <v>0.98</v>
      </c>
      <c r="V39" s="125"/>
    </row>
    <row r="40" spans="1:22" ht="14" thickBot="1" x14ac:dyDescent="0.4">
      <c r="A40" s="121" t="s">
        <v>21</v>
      </c>
      <c r="B40" s="130" t="s">
        <v>39</v>
      </c>
      <c r="C40" s="129" t="s">
        <v>121</v>
      </c>
      <c r="D40" s="113" t="s">
        <v>620</v>
      </c>
      <c r="E40" s="113" t="s">
        <v>372</v>
      </c>
      <c r="F40" s="146" t="str">
        <f t="shared" si="0"/>
        <v>1120 bk</v>
      </c>
      <c r="G40" s="123">
        <v>1120</v>
      </c>
      <c r="H40" s="124">
        <v>7</v>
      </c>
      <c r="I40" s="125" t="s">
        <v>373</v>
      </c>
      <c r="J40" s="125"/>
      <c r="K40" s="125" t="s">
        <v>374</v>
      </c>
      <c r="L40" s="113">
        <v>2</v>
      </c>
      <c r="M40" s="126">
        <v>45036</v>
      </c>
      <c r="N40" s="125" t="s">
        <v>386</v>
      </c>
      <c r="O40" s="127">
        <v>45036.8278587963</v>
      </c>
      <c r="P40" s="128">
        <v>297.2</v>
      </c>
      <c r="Q40" s="125" t="s">
        <v>376</v>
      </c>
      <c r="R40" s="128">
        <v>5.944</v>
      </c>
      <c r="S40" s="128">
        <v>3.1669999999999998</v>
      </c>
      <c r="T40" s="128">
        <v>1.88</v>
      </c>
      <c r="U40" s="128">
        <v>2.04</v>
      </c>
      <c r="V40" s="125"/>
    </row>
    <row r="41" spans="1:22" ht="14" thickBot="1" x14ac:dyDescent="0.4">
      <c r="A41" s="131" t="s">
        <v>25</v>
      </c>
      <c r="B41" s="122" t="s">
        <v>20</v>
      </c>
      <c r="C41" s="129" t="s">
        <v>121</v>
      </c>
      <c r="D41" s="113" t="s">
        <v>631</v>
      </c>
      <c r="E41" s="113" t="s">
        <v>372</v>
      </c>
      <c r="F41" s="146" t="str">
        <f t="shared" si="0"/>
        <v>1132 bk</v>
      </c>
      <c r="G41" s="123">
        <v>1132</v>
      </c>
      <c r="H41" s="124">
        <v>8</v>
      </c>
      <c r="I41" s="125" t="s">
        <v>373</v>
      </c>
      <c r="J41" s="125"/>
      <c r="K41" s="125" t="s">
        <v>374</v>
      </c>
      <c r="L41" s="113">
        <v>2</v>
      </c>
      <c r="M41" s="126">
        <v>45078</v>
      </c>
      <c r="N41" s="125" t="s">
        <v>420</v>
      </c>
      <c r="O41" s="127">
        <v>45079.465543981481</v>
      </c>
      <c r="P41" s="128">
        <v>362.9</v>
      </c>
      <c r="Q41" s="125" t="s">
        <v>376</v>
      </c>
      <c r="R41" s="128">
        <v>7.258</v>
      </c>
      <c r="S41" s="128">
        <v>3.8879999999999999</v>
      </c>
      <c r="T41" s="128">
        <v>1.87</v>
      </c>
      <c r="U41" s="128">
        <v>1.54</v>
      </c>
      <c r="V41" s="125"/>
    </row>
    <row r="42" spans="1:22" ht="14" thickBot="1" x14ac:dyDescent="0.4">
      <c r="A42" s="131" t="s">
        <v>25</v>
      </c>
      <c r="B42" s="130" t="s">
        <v>39</v>
      </c>
      <c r="C42" s="122" t="s">
        <v>19</v>
      </c>
      <c r="D42" s="143" t="s">
        <v>379</v>
      </c>
      <c r="E42" s="143" t="s">
        <v>380</v>
      </c>
      <c r="F42" s="146" t="str">
        <f t="shared" si="0"/>
        <v>22 lo</v>
      </c>
      <c r="G42" s="123">
        <v>22</v>
      </c>
      <c r="H42" s="124" t="s">
        <v>381</v>
      </c>
      <c r="I42" s="125" t="s">
        <v>374</v>
      </c>
      <c r="J42" s="126">
        <v>45085</v>
      </c>
      <c r="K42" s="125" t="s">
        <v>374</v>
      </c>
      <c r="L42" s="143"/>
      <c r="M42" s="126">
        <v>45085</v>
      </c>
      <c r="N42" s="125" t="s">
        <v>382</v>
      </c>
      <c r="O42" s="126">
        <v>45086</v>
      </c>
      <c r="P42" s="132">
        <v>2.2000000000000002</v>
      </c>
      <c r="Q42" s="125" t="s">
        <v>376</v>
      </c>
      <c r="R42" s="128">
        <v>4.3999999999999997E-2</v>
      </c>
      <c r="S42" s="128">
        <v>3.7999999999999999E-2</v>
      </c>
      <c r="T42" s="145">
        <v>1.1499999999999999</v>
      </c>
      <c r="U42" s="132">
        <v>0.16</v>
      </c>
      <c r="V42" s="125" t="s">
        <v>383</v>
      </c>
    </row>
    <row r="43" spans="1:22" ht="14" thickBot="1" x14ac:dyDescent="0.4">
      <c r="A43" s="121" t="s">
        <v>21</v>
      </c>
      <c r="B43" s="122" t="s">
        <v>20</v>
      </c>
      <c r="C43" s="122" t="s">
        <v>19</v>
      </c>
      <c r="D43" s="143" t="s">
        <v>398</v>
      </c>
      <c r="E43" s="143" t="s">
        <v>380</v>
      </c>
      <c r="F43" s="146" t="str">
        <f t="shared" si="0"/>
        <v>32 lo</v>
      </c>
      <c r="G43" s="123">
        <v>32</v>
      </c>
      <c r="H43" s="124" t="s">
        <v>381</v>
      </c>
      <c r="I43" s="125" t="s">
        <v>374</v>
      </c>
      <c r="J43" s="126">
        <v>45085</v>
      </c>
      <c r="K43" s="125" t="s">
        <v>374</v>
      </c>
      <c r="L43" s="143"/>
      <c r="M43" s="126">
        <v>45085</v>
      </c>
      <c r="N43" s="125" t="s">
        <v>382</v>
      </c>
      <c r="O43" s="126">
        <v>45086</v>
      </c>
      <c r="P43" s="132">
        <v>6</v>
      </c>
      <c r="Q43" s="125" t="s">
        <v>376</v>
      </c>
      <c r="R43" s="128">
        <v>0.12</v>
      </c>
      <c r="S43" s="128">
        <v>8.3000000000000004E-2</v>
      </c>
      <c r="T43" s="145">
        <v>1.44</v>
      </c>
      <c r="U43" s="132">
        <v>0.17</v>
      </c>
      <c r="V43" s="125" t="s">
        <v>383</v>
      </c>
    </row>
    <row r="44" spans="1:22" ht="14" thickBot="1" x14ac:dyDescent="0.4">
      <c r="A44" s="131" t="s">
        <v>25</v>
      </c>
      <c r="B44" s="122" t="s">
        <v>20</v>
      </c>
      <c r="C44" s="122" t="s">
        <v>19</v>
      </c>
      <c r="D44" s="143" t="s">
        <v>404</v>
      </c>
      <c r="E44" s="143" t="s">
        <v>380</v>
      </c>
      <c r="F44" s="146" t="str">
        <f t="shared" si="0"/>
        <v>36 lo</v>
      </c>
      <c r="G44" s="123">
        <v>36</v>
      </c>
      <c r="H44" s="124" t="s">
        <v>381</v>
      </c>
      <c r="I44" s="125" t="s">
        <v>374</v>
      </c>
      <c r="J44" s="126">
        <v>45085</v>
      </c>
      <c r="K44" s="125" t="s">
        <v>374</v>
      </c>
      <c r="L44" s="143"/>
      <c r="M44" s="126">
        <v>45085</v>
      </c>
      <c r="N44" s="125" t="s">
        <v>382</v>
      </c>
      <c r="O44" s="126">
        <v>45086</v>
      </c>
      <c r="P44" s="132">
        <v>2.1</v>
      </c>
      <c r="Q44" s="125" t="s">
        <v>376</v>
      </c>
      <c r="R44" s="128">
        <v>4.2000000000000003E-2</v>
      </c>
      <c r="S44" s="128">
        <v>3.5999999999999997E-2</v>
      </c>
      <c r="T44" s="145">
        <v>1.18</v>
      </c>
      <c r="U44" s="132">
        <v>0.23</v>
      </c>
      <c r="V44" s="125" t="s">
        <v>383</v>
      </c>
    </row>
    <row r="45" spans="1:22" ht="14" thickBot="1" x14ac:dyDescent="0.4">
      <c r="A45" s="121" t="s">
        <v>21</v>
      </c>
      <c r="B45" s="130" t="s">
        <v>39</v>
      </c>
      <c r="C45" s="122" t="s">
        <v>19</v>
      </c>
      <c r="D45" s="143" t="s">
        <v>412</v>
      </c>
      <c r="E45" s="143" t="s">
        <v>380</v>
      </c>
      <c r="F45" s="146" t="str">
        <f t="shared" si="0"/>
        <v>50 lo</v>
      </c>
      <c r="G45" s="123">
        <v>50</v>
      </c>
      <c r="H45" s="124" t="s">
        <v>381</v>
      </c>
      <c r="I45" s="125" t="s">
        <v>374</v>
      </c>
      <c r="J45" s="126">
        <v>45085</v>
      </c>
      <c r="K45" s="125" t="s">
        <v>374</v>
      </c>
      <c r="L45" s="143"/>
      <c r="M45" s="126">
        <v>45085</v>
      </c>
      <c r="N45" s="125" t="s">
        <v>382</v>
      </c>
      <c r="O45" s="126">
        <v>45086</v>
      </c>
      <c r="P45" s="132">
        <v>3.4</v>
      </c>
      <c r="Q45" s="125" t="s">
        <v>376</v>
      </c>
      <c r="R45" s="128">
        <v>6.7000000000000004E-2</v>
      </c>
      <c r="S45" s="128">
        <v>4.2999999999999997E-2</v>
      </c>
      <c r="T45" s="128">
        <v>1.57</v>
      </c>
      <c r="U45" s="132">
        <v>0.2</v>
      </c>
      <c r="V45" s="125" t="s">
        <v>383</v>
      </c>
    </row>
    <row r="46" spans="1:22" ht="14" thickBot="1" x14ac:dyDescent="0.4">
      <c r="A46" s="131" t="s">
        <v>25</v>
      </c>
      <c r="B46" s="130" t="s">
        <v>39</v>
      </c>
      <c r="C46" s="122" t="s">
        <v>19</v>
      </c>
      <c r="D46" s="143" t="s">
        <v>418</v>
      </c>
      <c r="E46" s="143" t="s">
        <v>380</v>
      </c>
      <c r="F46" s="146" t="str">
        <f t="shared" si="0"/>
        <v>60 lo</v>
      </c>
      <c r="G46" s="123">
        <v>60</v>
      </c>
      <c r="H46" s="124">
        <v>17</v>
      </c>
      <c r="I46" s="125" t="s">
        <v>374</v>
      </c>
      <c r="J46" s="126">
        <v>45106</v>
      </c>
      <c r="K46" s="125" t="s">
        <v>374</v>
      </c>
      <c r="L46" s="143"/>
      <c r="M46" s="126">
        <v>45106</v>
      </c>
      <c r="N46" s="125" t="s">
        <v>382</v>
      </c>
      <c r="O46" s="127">
        <v>45107.604942129627</v>
      </c>
      <c r="P46" s="132">
        <v>9.3000000000000007</v>
      </c>
      <c r="Q46" s="125" t="s">
        <v>376</v>
      </c>
      <c r="R46" s="128">
        <v>0.187</v>
      </c>
      <c r="S46" s="128">
        <v>0.13</v>
      </c>
      <c r="T46" s="145">
        <v>1.44</v>
      </c>
      <c r="U46" s="132">
        <v>0.06</v>
      </c>
      <c r="V46" s="125"/>
    </row>
    <row r="47" spans="1:22" ht="14" thickBot="1" x14ac:dyDescent="0.4">
      <c r="A47" s="121" t="s">
        <v>21</v>
      </c>
      <c r="B47" s="122" t="s">
        <v>20</v>
      </c>
      <c r="C47" s="122" t="s">
        <v>19</v>
      </c>
      <c r="D47" s="143" t="s">
        <v>425</v>
      </c>
      <c r="E47" s="143" t="s">
        <v>380</v>
      </c>
      <c r="F47" s="146" t="str">
        <f t="shared" si="0"/>
        <v>70 lo</v>
      </c>
      <c r="G47" s="123">
        <v>70</v>
      </c>
      <c r="H47" s="124">
        <v>15</v>
      </c>
      <c r="I47" s="125" t="s">
        <v>374</v>
      </c>
      <c r="J47" s="126">
        <v>45099</v>
      </c>
      <c r="K47" s="125" t="s">
        <v>374</v>
      </c>
      <c r="L47" s="143"/>
      <c r="M47" s="126">
        <v>45093</v>
      </c>
      <c r="N47" s="125" t="s">
        <v>382</v>
      </c>
      <c r="O47" s="127">
        <v>45097.646307870367</v>
      </c>
      <c r="P47" s="132">
        <v>5.4</v>
      </c>
      <c r="Q47" s="125" t="s">
        <v>376</v>
      </c>
      <c r="R47" s="128">
        <v>0.108</v>
      </c>
      <c r="S47" s="128">
        <v>0.09</v>
      </c>
      <c r="T47" s="145">
        <v>1.2</v>
      </c>
      <c r="U47" s="132">
        <v>0.11</v>
      </c>
      <c r="V47" s="125"/>
    </row>
    <row r="48" spans="1:22" ht="14" thickBot="1" x14ac:dyDescent="0.4">
      <c r="A48" s="121" t="s">
        <v>21</v>
      </c>
      <c r="B48" s="130" t="s">
        <v>39</v>
      </c>
      <c r="C48" s="122" t="s">
        <v>19</v>
      </c>
      <c r="D48" s="143" t="s">
        <v>432</v>
      </c>
      <c r="E48" s="143" t="s">
        <v>380</v>
      </c>
      <c r="F48" s="146" t="str">
        <f t="shared" si="0"/>
        <v>74 lo</v>
      </c>
      <c r="G48" s="123">
        <v>74</v>
      </c>
      <c r="H48" s="124">
        <v>15</v>
      </c>
      <c r="I48" s="125" t="s">
        <v>374</v>
      </c>
      <c r="J48" s="126">
        <v>45099</v>
      </c>
      <c r="K48" s="125" t="s">
        <v>374</v>
      </c>
      <c r="L48" s="143"/>
      <c r="M48" s="126">
        <v>45093</v>
      </c>
      <c r="N48" s="125" t="s">
        <v>382</v>
      </c>
      <c r="O48" s="127">
        <v>45097.648125</v>
      </c>
      <c r="P48" s="132">
        <v>3.9</v>
      </c>
      <c r="Q48" s="125" t="s">
        <v>376</v>
      </c>
      <c r="R48" s="128">
        <v>7.8E-2</v>
      </c>
      <c r="S48" s="128">
        <v>6.0999999999999999E-2</v>
      </c>
      <c r="T48" s="145">
        <v>1.27</v>
      </c>
      <c r="U48" s="132">
        <v>0.34</v>
      </c>
      <c r="V48" s="125"/>
    </row>
    <row r="49" spans="1:22" ht="14" thickBot="1" x14ac:dyDescent="0.4">
      <c r="A49" s="131" t="s">
        <v>25</v>
      </c>
      <c r="B49" s="130" t="s">
        <v>39</v>
      </c>
      <c r="C49" s="122" t="s">
        <v>19</v>
      </c>
      <c r="D49" s="143" t="s">
        <v>436</v>
      </c>
      <c r="E49" s="143" t="s">
        <v>380</v>
      </c>
      <c r="F49" s="146" t="str">
        <f t="shared" si="0"/>
        <v>78 lo</v>
      </c>
      <c r="G49" s="123">
        <v>78</v>
      </c>
      <c r="H49" s="124">
        <v>18</v>
      </c>
      <c r="I49" s="125" t="s">
        <v>374</v>
      </c>
      <c r="J49" s="126">
        <v>45113</v>
      </c>
      <c r="K49" s="125" t="s">
        <v>374</v>
      </c>
      <c r="L49" s="143"/>
      <c r="M49" s="126">
        <v>45114</v>
      </c>
      <c r="N49" s="125" t="s">
        <v>382</v>
      </c>
      <c r="O49" s="127">
        <v>45117.451249999998</v>
      </c>
      <c r="P49" s="132">
        <v>9</v>
      </c>
      <c r="Q49" s="125" t="s">
        <v>376</v>
      </c>
      <c r="R49" s="128">
        <v>0.18099999999999999</v>
      </c>
      <c r="S49" s="128">
        <v>0.122</v>
      </c>
      <c r="T49" s="145">
        <v>1.48</v>
      </c>
      <c r="U49" s="132">
        <v>0.1</v>
      </c>
      <c r="V49" s="125"/>
    </row>
    <row r="50" spans="1:22" ht="14" thickBot="1" x14ac:dyDescent="0.4">
      <c r="A50" s="121" t="s">
        <v>21</v>
      </c>
      <c r="B50" s="130" t="s">
        <v>39</v>
      </c>
      <c r="C50" s="122" t="s">
        <v>19</v>
      </c>
      <c r="D50" s="143" t="s">
        <v>440</v>
      </c>
      <c r="E50" s="143" t="s">
        <v>380</v>
      </c>
      <c r="F50" s="146" t="str">
        <f t="shared" si="0"/>
        <v>82 lo</v>
      </c>
      <c r="G50" s="123">
        <v>82</v>
      </c>
      <c r="H50" s="124">
        <v>16</v>
      </c>
      <c r="I50" s="125" t="s">
        <v>374</v>
      </c>
      <c r="J50" s="126">
        <v>45102</v>
      </c>
      <c r="K50" s="125" t="s">
        <v>374</v>
      </c>
      <c r="L50" s="143"/>
      <c r="M50" s="126">
        <v>45100</v>
      </c>
      <c r="N50" s="125" t="s">
        <v>382</v>
      </c>
      <c r="O50" s="127">
        <v>45100.617071759261</v>
      </c>
      <c r="P50" s="132">
        <v>13.1</v>
      </c>
      <c r="Q50" s="125" t="s">
        <v>376</v>
      </c>
      <c r="R50" s="128">
        <v>0.26200000000000001</v>
      </c>
      <c r="S50" s="128">
        <v>0.185</v>
      </c>
      <c r="T50" s="145">
        <v>1.42</v>
      </c>
      <c r="U50" s="132">
        <v>0.26</v>
      </c>
      <c r="V50" s="125"/>
    </row>
    <row r="51" spans="1:22" ht="14" thickBot="1" x14ac:dyDescent="0.4">
      <c r="A51" s="121" t="s">
        <v>21</v>
      </c>
      <c r="B51" s="122" t="s">
        <v>20</v>
      </c>
      <c r="C51" s="122" t="s">
        <v>19</v>
      </c>
      <c r="D51" s="143" t="s">
        <v>446</v>
      </c>
      <c r="E51" s="143" t="s">
        <v>380</v>
      </c>
      <c r="F51" s="146" t="str">
        <f t="shared" si="0"/>
        <v>86 lo</v>
      </c>
      <c r="G51" s="123">
        <v>86</v>
      </c>
      <c r="H51" s="124">
        <v>16</v>
      </c>
      <c r="I51" s="125" t="s">
        <v>374</v>
      </c>
      <c r="J51" s="126">
        <v>45104</v>
      </c>
      <c r="K51" s="125" t="s">
        <v>374</v>
      </c>
      <c r="L51" s="143"/>
      <c r="M51" s="126">
        <v>45100</v>
      </c>
      <c r="N51" s="125" t="s">
        <v>382</v>
      </c>
      <c r="O51" s="127">
        <v>45100.61991898148</v>
      </c>
      <c r="P51" s="132">
        <v>6.2</v>
      </c>
      <c r="Q51" s="125" t="s">
        <v>376</v>
      </c>
      <c r="R51" s="128">
        <v>0.123</v>
      </c>
      <c r="S51" s="128">
        <v>0.09</v>
      </c>
      <c r="T51" s="145">
        <v>1.37</v>
      </c>
      <c r="U51" s="132">
        <v>0.17</v>
      </c>
      <c r="V51" s="125"/>
    </row>
    <row r="52" spans="1:22" ht="14" thickBot="1" x14ac:dyDescent="0.4">
      <c r="A52" s="131" t="s">
        <v>25</v>
      </c>
      <c r="B52" s="122" t="s">
        <v>20</v>
      </c>
      <c r="C52" s="122" t="s">
        <v>19</v>
      </c>
      <c r="D52" s="143" t="s">
        <v>450</v>
      </c>
      <c r="E52" s="143" t="s">
        <v>380</v>
      </c>
      <c r="F52" s="146" t="str">
        <f t="shared" si="0"/>
        <v>90 lo</v>
      </c>
      <c r="G52" s="123">
        <v>90</v>
      </c>
      <c r="H52" s="124">
        <v>15</v>
      </c>
      <c r="I52" s="125" t="s">
        <v>374</v>
      </c>
      <c r="J52" s="126">
        <v>45099</v>
      </c>
      <c r="K52" s="125" t="s">
        <v>374</v>
      </c>
      <c r="L52" s="143"/>
      <c r="M52" s="126">
        <v>45093</v>
      </c>
      <c r="N52" s="125" t="s">
        <v>382</v>
      </c>
      <c r="O52" s="127">
        <v>45097.649317129632</v>
      </c>
      <c r="P52" s="132">
        <v>18.3</v>
      </c>
      <c r="Q52" s="125" t="s">
        <v>376</v>
      </c>
      <c r="R52" s="128">
        <v>0.36499999999999999</v>
      </c>
      <c r="S52" s="128">
        <v>0.26800000000000002</v>
      </c>
      <c r="T52" s="145">
        <v>1.36</v>
      </c>
      <c r="U52" s="132">
        <v>0.39</v>
      </c>
      <c r="V52" s="125"/>
    </row>
    <row r="53" spans="1:22" ht="14" thickBot="1" x14ac:dyDescent="0.4">
      <c r="A53" s="131" t="s">
        <v>25</v>
      </c>
      <c r="B53" s="130" t="s">
        <v>39</v>
      </c>
      <c r="C53" s="122" t="s">
        <v>19</v>
      </c>
      <c r="D53" s="143" t="s">
        <v>456</v>
      </c>
      <c r="E53" s="143" t="s">
        <v>380</v>
      </c>
      <c r="F53" s="146" t="str">
        <f t="shared" si="0"/>
        <v>96 lo</v>
      </c>
      <c r="G53" s="123">
        <v>96</v>
      </c>
      <c r="H53" s="124">
        <v>19</v>
      </c>
      <c r="I53" s="125" t="s">
        <v>374</v>
      </c>
      <c r="J53" s="126">
        <v>45114</v>
      </c>
      <c r="K53" s="125" t="s">
        <v>374</v>
      </c>
      <c r="L53" s="143"/>
      <c r="M53" s="126">
        <v>45114</v>
      </c>
      <c r="N53" s="125" t="s">
        <v>382</v>
      </c>
      <c r="O53" s="127">
        <v>45117.464421296296</v>
      </c>
      <c r="P53" s="132">
        <v>7.1</v>
      </c>
      <c r="Q53" s="125" t="s">
        <v>376</v>
      </c>
      <c r="R53" s="128">
        <v>0.14199999999999999</v>
      </c>
      <c r="S53" s="128">
        <v>0.105</v>
      </c>
      <c r="T53" s="145">
        <v>1.35</v>
      </c>
      <c r="U53" s="132">
        <v>0.16</v>
      </c>
      <c r="V53" s="125"/>
    </row>
    <row r="54" spans="1:22" ht="14" thickBot="1" x14ac:dyDescent="0.4">
      <c r="A54" s="121" t="s">
        <v>21</v>
      </c>
      <c r="B54" s="122" t="s">
        <v>20</v>
      </c>
      <c r="C54" s="122" t="s">
        <v>19</v>
      </c>
      <c r="D54" s="143" t="s">
        <v>462</v>
      </c>
      <c r="E54" s="143" t="s">
        <v>380</v>
      </c>
      <c r="F54" s="146" t="str">
        <f t="shared" si="0"/>
        <v>102 lo</v>
      </c>
      <c r="G54" s="123">
        <v>102</v>
      </c>
      <c r="H54" s="124">
        <v>17</v>
      </c>
      <c r="I54" s="125" t="s">
        <v>374</v>
      </c>
      <c r="J54" s="126">
        <v>45106</v>
      </c>
      <c r="K54" s="125" t="s">
        <v>374</v>
      </c>
      <c r="L54" s="143"/>
      <c r="M54" s="126">
        <v>45106</v>
      </c>
      <c r="N54" s="125" t="s">
        <v>382</v>
      </c>
      <c r="O54" s="127">
        <v>45107.603067129632</v>
      </c>
      <c r="P54" s="132">
        <v>7.1</v>
      </c>
      <c r="Q54" s="125" t="s">
        <v>376</v>
      </c>
      <c r="R54" s="128">
        <v>0.14199999999999999</v>
      </c>
      <c r="S54" s="128">
        <v>7.4999999999999997E-2</v>
      </c>
      <c r="T54" s="128">
        <v>1.9</v>
      </c>
      <c r="U54" s="132">
        <v>0.02</v>
      </c>
      <c r="V54" s="125"/>
    </row>
    <row r="55" spans="1:22" ht="14" thickBot="1" x14ac:dyDescent="0.4">
      <c r="A55" s="121" t="s">
        <v>21</v>
      </c>
      <c r="B55" s="130" t="s">
        <v>39</v>
      </c>
      <c r="C55" s="122" t="s">
        <v>19</v>
      </c>
      <c r="D55" s="143" t="s">
        <v>471</v>
      </c>
      <c r="E55" s="143" t="s">
        <v>380</v>
      </c>
      <c r="F55" s="146" t="str">
        <f t="shared" si="0"/>
        <v>108 lo</v>
      </c>
      <c r="G55" s="123">
        <v>108</v>
      </c>
      <c r="H55" s="124">
        <v>17</v>
      </c>
      <c r="I55" s="125" t="s">
        <v>374</v>
      </c>
      <c r="J55" s="126">
        <v>45107</v>
      </c>
      <c r="K55" s="125" t="s">
        <v>374</v>
      </c>
      <c r="L55" s="143"/>
      <c r="M55" s="126">
        <v>45106</v>
      </c>
      <c r="N55" s="125" t="s">
        <v>382</v>
      </c>
      <c r="O55" s="127">
        <v>45107.616296296299</v>
      </c>
      <c r="P55" s="132">
        <v>25.7</v>
      </c>
      <c r="Q55" s="125" t="s">
        <v>376</v>
      </c>
      <c r="R55" s="128">
        <v>0.51400000000000001</v>
      </c>
      <c r="S55" s="128">
        <v>0.35699999999999998</v>
      </c>
      <c r="T55" s="145">
        <v>1.44</v>
      </c>
      <c r="U55" s="132">
        <v>0.13</v>
      </c>
      <c r="V55" s="125"/>
    </row>
    <row r="56" spans="1:22" ht="14" thickBot="1" x14ac:dyDescent="0.4">
      <c r="A56" s="131" t="s">
        <v>25</v>
      </c>
      <c r="B56" s="122" t="s">
        <v>20</v>
      </c>
      <c r="C56" s="122" t="s">
        <v>19</v>
      </c>
      <c r="D56" s="143" t="s">
        <v>477</v>
      </c>
      <c r="E56" s="143" t="s">
        <v>380</v>
      </c>
      <c r="F56" s="146" t="str">
        <f t="shared" si="0"/>
        <v>118 lo</v>
      </c>
      <c r="G56" s="123">
        <v>118</v>
      </c>
      <c r="H56" s="124">
        <v>16</v>
      </c>
      <c r="I56" s="125" t="s">
        <v>374</v>
      </c>
      <c r="J56" s="126">
        <v>45106</v>
      </c>
      <c r="K56" s="125" t="s">
        <v>374</v>
      </c>
      <c r="L56" s="143"/>
      <c r="M56" s="126">
        <v>45100</v>
      </c>
      <c r="N56" s="125" t="s">
        <v>382</v>
      </c>
      <c r="O56" s="127">
        <v>45100.621701388889</v>
      </c>
      <c r="P56" s="132">
        <v>7.9</v>
      </c>
      <c r="Q56" s="125" t="s">
        <v>376</v>
      </c>
      <c r="R56" s="128">
        <v>0.158</v>
      </c>
      <c r="S56" s="128">
        <v>0.11899999999999999</v>
      </c>
      <c r="T56" s="145">
        <v>1.33</v>
      </c>
      <c r="U56" s="132">
        <v>0.13</v>
      </c>
      <c r="V56" s="125"/>
    </row>
    <row r="57" spans="1:22" ht="14" thickBot="1" x14ac:dyDescent="0.4">
      <c r="A57" s="121" t="s">
        <v>21</v>
      </c>
      <c r="B57" s="122" t="s">
        <v>20</v>
      </c>
      <c r="C57" s="122" t="s">
        <v>19</v>
      </c>
      <c r="D57" s="143" t="s">
        <v>481</v>
      </c>
      <c r="E57" s="143" t="s">
        <v>380</v>
      </c>
      <c r="F57" s="146" t="str">
        <f t="shared" si="0"/>
        <v>122 lo</v>
      </c>
      <c r="G57" s="123">
        <v>122</v>
      </c>
      <c r="H57" s="124">
        <v>18</v>
      </c>
      <c r="I57" s="125" t="s">
        <v>374</v>
      </c>
      <c r="J57" s="126">
        <v>45113</v>
      </c>
      <c r="K57" s="125" t="s">
        <v>374</v>
      </c>
      <c r="L57" s="143"/>
      <c r="M57" s="126">
        <v>45114</v>
      </c>
      <c r="N57" s="125" t="s">
        <v>382</v>
      </c>
      <c r="O57" s="127">
        <v>45117.453136574077</v>
      </c>
      <c r="P57" s="132">
        <v>7.5</v>
      </c>
      <c r="Q57" s="125" t="s">
        <v>376</v>
      </c>
      <c r="R57" s="128">
        <v>0.14899999999999999</v>
      </c>
      <c r="S57" s="128">
        <v>7.4999999999999997E-2</v>
      </c>
      <c r="T57" s="128">
        <v>1.99</v>
      </c>
      <c r="U57" s="132">
        <v>0.01</v>
      </c>
      <c r="V57" s="125"/>
    </row>
    <row r="58" spans="1:22" ht="14" thickBot="1" x14ac:dyDescent="0.4">
      <c r="A58" s="131" t="s">
        <v>25</v>
      </c>
      <c r="B58" s="130" t="s">
        <v>39</v>
      </c>
      <c r="C58" s="122" t="s">
        <v>19</v>
      </c>
      <c r="D58" s="143" t="s">
        <v>485</v>
      </c>
      <c r="E58" s="143" t="s">
        <v>380</v>
      </c>
      <c r="F58" s="146" t="str">
        <f t="shared" si="0"/>
        <v>124 lo</v>
      </c>
      <c r="G58" s="123">
        <v>124</v>
      </c>
      <c r="H58" s="124">
        <v>19</v>
      </c>
      <c r="I58" s="125" t="s">
        <v>374</v>
      </c>
      <c r="J58" s="126">
        <v>45114</v>
      </c>
      <c r="K58" s="125" t="s">
        <v>374</v>
      </c>
      <c r="L58" s="143"/>
      <c r="M58" s="126">
        <v>45114</v>
      </c>
      <c r="N58" s="125" t="s">
        <v>382</v>
      </c>
      <c r="O58" s="127">
        <v>45117.465821759259</v>
      </c>
      <c r="P58" s="132">
        <v>7.2</v>
      </c>
      <c r="Q58" s="125" t="s">
        <v>376</v>
      </c>
      <c r="R58" s="128">
        <v>0.14499999999999999</v>
      </c>
      <c r="S58" s="128">
        <v>9.7000000000000003E-2</v>
      </c>
      <c r="T58" s="145">
        <v>1.5</v>
      </c>
      <c r="U58" s="132">
        <v>7.0000000000000007E-2</v>
      </c>
      <c r="V58" s="125"/>
    </row>
    <row r="59" spans="1:22" ht="14" thickBot="1" x14ac:dyDescent="0.4">
      <c r="A59" s="131" t="s">
        <v>25</v>
      </c>
      <c r="B59" s="122" t="s">
        <v>20</v>
      </c>
      <c r="C59" s="122" t="s">
        <v>19</v>
      </c>
      <c r="D59" s="143" t="s">
        <v>489</v>
      </c>
      <c r="E59" s="143" t="s">
        <v>380</v>
      </c>
      <c r="F59" s="146" t="str">
        <f t="shared" si="0"/>
        <v>126 lo</v>
      </c>
      <c r="G59" s="123">
        <v>126</v>
      </c>
      <c r="H59" s="124">
        <v>17</v>
      </c>
      <c r="I59" s="125" t="s">
        <v>374</v>
      </c>
      <c r="J59" s="126">
        <v>45107</v>
      </c>
      <c r="K59" s="125" t="s">
        <v>374</v>
      </c>
      <c r="L59" s="143"/>
      <c r="M59" s="126">
        <v>45106</v>
      </c>
      <c r="N59" s="125" t="s">
        <v>382</v>
      </c>
      <c r="O59" s="127">
        <v>45107.617997685185</v>
      </c>
      <c r="P59" s="132">
        <v>11.8</v>
      </c>
      <c r="Q59" s="125" t="s">
        <v>376</v>
      </c>
      <c r="R59" s="128">
        <v>0.23599999999999999</v>
      </c>
      <c r="S59" s="128">
        <v>0.15</v>
      </c>
      <c r="T59" s="128">
        <v>1.58</v>
      </c>
      <c r="U59" s="132">
        <v>0.03</v>
      </c>
      <c r="V59" s="125"/>
    </row>
    <row r="60" spans="1:22" ht="14" thickBot="1" x14ac:dyDescent="0.4">
      <c r="A60" s="121" t="s">
        <v>21</v>
      </c>
      <c r="B60" s="130" t="s">
        <v>39</v>
      </c>
      <c r="C60" s="122" t="s">
        <v>19</v>
      </c>
      <c r="D60" s="143" t="s">
        <v>496</v>
      </c>
      <c r="E60" s="143" t="s">
        <v>380</v>
      </c>
      <c r="F60" s="146" t="str">
        <f t="shared" si="0"/>
        <v>130 lo</v>
      </c>
      <c r="G60" s="123">
        <v>130</v>
      </c>
      <c r="H60" s="124">
        <v>18</v>
      </c>
      <c r="I60" s="125" t="s">
        <v>374</v>
      </c>
      <c r="J60" s="126">
        <v>45113</v>
      </c>
      <c r="K60" s="125" t="s">
        <v>374</v>
      </c>
      <c r="L60" s="143"/>
      <c r="M60" s="126">
        <v>45114</v>
      </c>
      <c r="N60" s="125" t="s">
        <v>382</v>
      </c>
      <c r="O60" s="127">
        <v>45117.454768518517</v>
      </c>
      <c r="P60" s="132">
        <v>1.9</v>
      </c>
      <c r="Q60" s="125" t="s">
        <v>376</v>
      </c>
      <c r="R60" s="128">
        <v>3.9E-2</v>
      </c>
      <c r="S60" s="128">
        <v>2.5999999999999999E-2</v>
      </c>
      <c r="T60" s="128">
        <v>1.51</v>
      </c>
      <c r="U60" s="132">
        <v>0.01</v>
      </c>
      <c r="V60" s="125"/>
    </row>
    <row r="61" spans="1:22" ht="14" thickBot="1" x14ac:dyDescent="0.4">
      <c r="A61" s="131" t="s">
        <v>25</v>
      </c>
      <c r="B61" s="122" t="s">
        <v>20</v>
      </c>
      <c r="C61" s="122" t="s">
        <v>19</v>
      </c>
      <c r="D61" s="143" t="s">
        <v>508</v>
      </c>
      <c r="E61" s="143" t="s">
        <v>380</v>
      </c>
      <c r="F61" s="146" t="str">
        <f t="shared" si="0"/>
        <v>144 lo</v>
      </c>
      <c r="G61" s="123">
        <v>144</v>
      </c>
      <c r="H61" s="124">
        <v>18</v>
      </c>
      <c r="I61" s="125" t="s">
        <v>374</v>
      </c>
      <c r="J61" s="126">
        <v>45113</v>
      </c>
      <c r="K61" s="125" t="s">
        <v>374</v>
      </c>
      <c r="L61" s="143"/>
      <c r="M61" s="126">
        <v>45114</v>
      </c>
      <c r="N61" s="125" t="s">
        <v>382</v>
      </c>
      <c r="O61" s="127">
        <v>45117.45616898148</v>
      </c>
      <c r="P61" s="132">
        <v>1.2</v>
      </c>
      <c r="Q61" s="125" t="s">
        <v>376</v>
      </c>
      <c r="R61" s="128">
        <v>2.4E-2</v>
      </c>
      <c r="S61" s="128">
        <v>1.7999999999999999E-2</v>
      </c>
      <c r="T61" s="145">
        <v>1.29</v>
      </c>
      <c r="U61" s="132">
        <v>0.01</v>
      </c>
      <c r="V61" s="125" t="s">
        <v>509</v>
      </c>
    </row>
    <row r="62" spans="1:22" ht="14" thickBot="1" x14ac:dyDescent="0.4">
      <c r="A62" s="131" t="s">
        <v>25</v>
      </c>
      <c r="B62" s="122" t="s">
        <v>20</v>
      </c>
      <c r="C62" s="129" t="s">
        <v>121</v>
      </c>
      <c r="D62" s="143" t="s">
        <v>514</v>
      </c>
      <c r="E62" s="143" t="s">
        <v>380</v>
      </c>
      <c r="F62" s="146" t="str">
        <f t="shared" si="0"/>
        <v>1004 lo</v>
      </c>
      <c r="G62" s="123">
        <v>1004</v>
      </c>
      <c r="H62" s="124" t="s">
        <v>515</v>
      </c>
      <c r="I62" s="125" t="s">
        <v>374</v>
      </c>
      <c r="J62" s="126">
        <v>45086</v>
      </c>
      <c r="K62" s="125" t="s">
        <v>374</v>
      </c>
      <c r="L62" s="143"/>
      <c r="M62" s="126">
        <v>45086</v>
      </c>
      <c r="N62" s="125" t="s">
        <v>382</v>
      </c>
      <c r="O62" s="126">
        <v>45086</v>
      </c>
      <c r="P62" s="132">
        <v>12.3</v>
      </c>
      <c r="Q62" s="125" t="s">
        <v>376</v>
      </c>
      <c r="R62" s="128">
        <v>0.247</v>
      </c>
      <c r="S62" s="128">
        <v>0.154</v>
      </c>
      <c r="T62" s="128">
        <v>1.6</v>
      </c>
      <c r="U62" s="132">
        <v>0.35</v>
      </c>
      <c r="V62" s="125"/>
    </row>
    <row r="63" spans="1:22" ht="14" thickBot="1" x14ac:dyDescent="0.4">
      <c r="A63" s="131" t="s">
        <v>25</v>
      </c>
      <c r="B63" s="130" t="s">
        <v>39</v>
      </c>
      <c r="C63" s="129" t="s">
        <v>121</v>
      </c>
      <c r="D63" s="143" t="s">
        <v>525</v>
      </c>
      <c r="E63" s="143" t="s">
        <v>380</v>
      </c>
      <c r="F63" s="146" t="str">
        <f t="shared" si="0"/>
        <v>1022 lo</v>
      </c>
      <c r="G63" s="123">
        <v>1022</v>
      </c>
      <c r="H63" s="124" t="s">
        <v>515</v>
      </c>
      <c r="I63" s="125" t="s">
        <v>374</v>
      </c>
      <c r="J63" s="126">
        <v>45086</v>
      </c>
      <c r="K63" s="125" t="s">
        <v>374</v>
      </c>
      <c r="L63" s="143"/>
      <c r="M63" s="126">
        <v>45086</v>
      </c>
      <c r="N63" s="125" t="s">
        <v>382</v>
      </c>
      <c r="O63" s="126">
        <v>45086</v>
      </c>
      <c r="P63" s="132">
        <v>47.4</v>
      </c>
      <c r="Q63" s="125" t="s">
        <v>376</v>
      </c>
      <c r="R63" s="128">
        <v>0.94899999999999995</v>
      </c>
      <c r="S63" s="128">
        <v>0.64800000000000002</v>
      </c>
      <c r="T63" s="145">
        <v>1.47</v>
      </c>
      <c r="U63" s="132">
        <v>0.13</v>
      </c>
      <c r="V63" s="125"/>
    </row>
    <row r="64" spans="1:22" ht="14" thickBot="1" x14ac:dyDescent="0.4">
      <c r="A64" s="121" t="s">
        <v>21</v>
      </c>
      <c r="B64" s="122" t="s">
        <v>20</v>
      </c>
      <c r="C64" s="129" t="s">
        <v>121</v>
      </c>
      <c r="D64" s="143" t="s">
        <v>537</v>
      </c>
      <c r="E64" s="143" t="s">
        <v>380</v>
      </c>
      <c r="F64" s="146" t="str">
        <f t="shared" si="0"/>
        <v>1032 lo</v>
      </c>
      <c r="G64" s="123">
        <v>1032</v>
      </c>
      <c r="H64" s="124" t="s">
        <v>515</v>
      </c>
      <c r="I64" s="125" t="s">
        <v>374</v>
      </c>
      <c r="J64" s="126">
        <v>45086</v>
      </c>
      <c r="K64" s="125" t="s">
        <v>374</v>
      </c>
      <c r="L64" s="143"/>
      <c r="M64" s="126">
        <v>45086</v>
      </c>
      <c r="N64" s="125" t="s">
        <v>382</v>
      </c>
      <c r="O64" s="126">
        <v>45086</v>
      </c>
      <c r="P64" s="132">
        <v>23</v>
      </c>
      <c r="Q64" s="125" t="s">
        <v>376</v>
      </c>
      <c r="R64" s="128">
        <v>0.45900000000000002</v>
      </c>
      <c r="S64" s="128">
        <v>0.31</v>
      </c>
      <c r="T64" s="145">
        <v>1.48</v>
      </c>
      <c r="U64" s="132">
        <v>0.31</v>
      </c>
      <c r="V64" s="125"/>
    </row>
    <row r="65" spans="1:22" ht="14" thickBot="1" x14ac:dyDescent="0.4">
      <c r="A65" s="121" t="s">
        <v>21</v>
      </c>
      <c r="B65" s="130" t="s">
        <v>39</v>
      </c>
      <c r="C65" s="129" t="s">
        <v>121</v>
      </c>
      <c r="D65" s="143" t="s">
        <v>545</v>
      </c>
      <c r="E65" s="143" t="s">
        <v>380</v>
      </c>
      <c r="F65" s="146" t="str">
        <f t="shared" si="0"/>
        <v>1046 lo</v>
      </c>
      <c r="G65" s="123">
        <v>1046</v>
      </c>
      <c r="H65" s="124" t="s">
        <v>515</v>
      </c>
      <c r="I65" s="125" t="s">
        <v>374</v>
      </c>
      <c r="J65" s="126">
        <v>45086</v>
      </c>
      <c r="K65" s="125" t="s">
        <v>374</v>
      </c>
      <c r="L65" s="143"/>
      <c r="M65" s="126">
        <v>45086</v>
      </c>
      <c r="N65" s="125" t="s">
        <v>382</v>
      </c>
      <c r="O65" s="126">
        <v>45086</v>
      </c>
      <c r="P65" s="132">
        <v>8.6</v>
      </c>
      <c r="Q65" s="125" t="s">
        <v>376</v>
      </c>
      <c r="R65" s="128">
        <v>0.17299999999999999</v>
      </c>
      <c r="S65" s="128">
        <v>0.09</v>
      </c>
      <c r="T65" s="128">
        <v>1.92</v>
      </c>
      <c r="U65" s="132">
        <v>0.02</v>
      </c>
      <c r="V65" s="125"/>
    </row>
    <row r="66" spans="1:22" ht="14" thickBot="1" x14ac:dyDescent="0.4">
      <c r="A66" s="121" t="s">
        <v>21</v>
      </c>
      <c r="B66" s="130" t="s">
        <v>39</v>
      </c>
      <c r="C66" s="129" t="s">
        <v>121</v>
      </c>
      <c r="D66" s="143" t="s">
        <v>554</v>
      </c>
      <c r="E66" s="143" t="s">
        <v>380</v>
      </c>
      <c r="F66" s="146" t="str">
        <f t="shared" si="0"/>
        <v>1058 lo</v>
      </c>
      <c r="G66" s="123">
        <v>1058</v>
      </c>
      <c r="H66" s="124">
        <v>15</v>
      </c>
      <c r="I66" s="125" t="s">
        <v>374</v>
      </c>
      <c r="J66" s="126">
        <v>45099</v>
      </c>
      <c r="K66" s="125" t="s">
        <v>374</v>
      </c>
      <c r="L66" s="143"/>
      <c r="M66" s="126">
        <v>45099</v>
      </c>
      <c r="N66" s="125" t="s">
        <v>382</v>
      </c>
      <c r="O66" s="127">
        <v>45100.609027777777</v>
      </c>
      <c r="P66" s="132">
        <v>12.9</v>
      </c>
      <c r="Q66" s="125" t="s">
        <v>376</v>
      </c>
      <c r="R66" s="128">
        <v>0.25900000000000001</v>
      </c>
      <c r="S66" s="128">
        <v>0.18099999999999999</v>
      </c>
      <c r="T66" s="145">
        <v>1.43</v>
      </c>
      <c r="U66" s="132">
        <v>7.0000000000000007E-2</v>
      </c>
      <c r="V66" s="125"/>
    </row>
    <row r="67" spans="1:22" ht="14" thickBot="1" x14ac:dyDescent="0.4">
      <c r="A67" s="131" t="s">
        <v>25</v>
      </c>
      <c r="B67" s="130" t="s">
        <v>39</v>
      </c>
      <c r="C67" s="129" t="s">
        <v>121</v>
      </c>
      <c r="D67" s="143" t="s">
        <v>558</v>
      </c>
      <c r="E67" s="143" t="s">
        <v>380</v>
      </c>
      <c r="F67" s="146" t="str">
        <f t="shared" ref="F67:F130" si="1">G67&amp;" "&amp;IF(E67="bulk_soil","bk",IF(E67="rhizosphere","rh",IF(E67="root_endo","ri",IF(E67="root_ecto","ro",IF(E67="leaf_ecto","lo",IF(E67="leaf_endo","li","error"))))))</f>
        <v>1060 lo</v>
      </c>
      <c r="G67" s="123">
        <v>1060</v>
      </c>
      <c r="H67" s="124">
        <v>15</v>
      </c>
      <c r="I67" s="125" t="s">
        <v>374</v>
      </c>
      <c r="J67" s="126">
        <v>45099</v>
      </c>
      <c r="K67" s="125" t="s">
        <v>374</v>
      </c>
      <c r="L67" s="143"/>
      <c r="M67" s="126">
        <v>45099</v>
      </c>
      <c r="N67" s="125" t="s">
        <v>382</v>
      </c>
      <c r="O67" s="127">
        <v>45100.611516203702</v>
      </c>
      <c r="P67" s="132">
        <v>22.1</v>
      </c>
      <c r="Q67" s="125" t="s">
        <v>376</v>
      </c>
      <c r="R67" s="128">
        <v>0.442</v>
      </c>
      <c r="S67" s="128">
        <v>0.30399999999999999</v>
      </c>
      <c r="T67" s="145">
        <v>1.46</v>
      </c>
      <c r="U67" s="132">
        <v>0.1</v>
      </c>
      <c r="V67" s="125"/>
    </row>
    <row r="68" spans="1:22" ht="14" thickBot="1" x14ac:dyDescent="0.4">
      <c r="A68" s="131" t="s">
        <v>25</v>
      </c>
      <c r="B68" s="122" t="s">
        <v>20</v>
      </c>
      <c r="C68" s="129" t="s">
        <v>121</v>
      </c>
      <c r="D68" s="143" t="s">
        <v>562</v>
      </c>
      <c r="E68" s="143" t="s">
        <v>380</v>
      </c>
      <c r="F68" s="146" t="str">
        <f t="shared" si="1"/>
        <v>1064 lo</v>
      </c>
      <c r="G68" s="123">
        <v>1064</v>
      </c>
      <c r="H68" s="124">
        <v>15</v>
      </c>
      <c r="I68" s="125" t="s">
        <v>374</v>
      </c>
      <c r="J68" s="126">
        <v>45099</v>
      </c>
      <c r="K68" s="125" t="s">
        <v>374</v>
      </c>
      <c r="L68" s="143"/>
      <c r="M68" s="126">
        <v>45099</v>
      </c>
      <c r="N68" s="125" t="s">
        <v>382</v>
      </c>
      <c r="O68" s="127">
        <v>45100.612997685188</v>
      </c>
      <c r="P68" s="132">
        <v>10.1</v>
      </c>
      <c r="Q68" s="125" t="s">
        <v>376</v>
      </c>
      <c r="R68" s="128">
        <v>0.20300000000000001</v>
      </c>
      <c r="S68" s="128">
        <v>0.14399999999999999</v>
      </c>
      <c r="T68" s="145">
        <v>1.41</v>
      </c>
      <c r="U68" s="132">
        <v>0.19</v>
      </c>
      <c r="V68" s="125"/>
    </row>
    <row r="69" spans="1:22" ht="14" thickBot="1" x14ac:dyDescent="0.4">
      <c r="A69" s="121" t="s">
        <v>21</v>
      </c>
      <c r="B69" s="122" t="s">
        <v>20</v>
      </c>
      <c r="C69" s="129" t="s">
        <v>121</v>
      </c>
      <c r="D69" s="143" t="s">
        <v>566</v>
      </c>
      <c r="E69" s="143" t="s">
        <v>380</v>
      </c>
      <c r="F69" s="146" t="str">
        <f t="shared" si="1"/>
        <v>1070 lo</v>
      </c>
      <c r="G69" s="123">
        <v>1070</v>
      </c>
      <c r="H69" s="124">
        <v>15</v>
      </c>
      <c r="I69" s="125" t="s">
        <v>374</v>
      </c>
      <c r="J69" s="126">
        <v>45099</v>
      </c>
      <c r="K69" s="125" t="s">
        <v>374</v>
      </c>
      <c r="L69" s="143"/>
      <c r="M69" s="126">
        <v>45099</v>
      </c>
      <c r="N69" s="125" t="s">
        <v>382</v>
      </c>
      <c r="O69" s="127">
        <v>45100.614398148151</v>
      </c>
      <c r="P69" s="132">
        <v>8.3000000000000007</v>
      </c>
      <c r="Q69" s="125" t="s">
        <v>376</v>
      </c>
      <c r="R69" s="128">
        <v>0.16500000000000001</v>
      </c>
      <c r="S69" s="128">
        <v>0.121</v>
      </c>
      <c r="T69" s="145">
        <v>1.37</v>
      </c>
      <c r="U69" s="132">
        <v>0.05</v>
      </c>
      <c r="V69" s="125"/>
    </row>
    <row r="70" spans="1:22" ht="14" thickBot="1" x14ac:dyDescent="0.4">
      <c r="A70" s="121" t="s">
        <v>21</v>
      </c>
      <c r="B70" s="130" t="s">
        <v>39</v>
      </c>
      <c r="C70" s="129" t="s">
        <v>121</v>
      </c>
      <c r="D70" s="143" t="s">
        <v>572</v>
      </c>
      <c r="E70" s="143" t="s">
        <v>380</v>
      </c>
      <c r="F70" s="146" t="str">
        <f t="shared" si="1"/>
        <v>1074 lo</v>
      </c>
      <c r="G70" s="123">
        <v>1074</v>
      </c>
      <c r="H70" s="124">
        <v>16</v>
      </c>
      <c r="I70" s="125" t="s">
        <v>374</v>
      </c>
      <c r="J70" s="126">
        <v>45106</v>
      </c>
      <c r="K70" s="125" t="s">
        <v>374</v>
      </c>
      <c r="L70" s="143"/>
      <c r="M70" s="126">
        <v>45106</v>
      </c>
      <c r="N70" s="125" t="s">
        <v>382</v>
      </c>
      <c r="O70" s="127">
        <v>45107.614548611113</v>
      </c>
      <c r="P70" s="132">
        <v>14.5</v>
      </c>
      <c r="Q70" s="125" t="s">
        <v>376</v>
      </c>
      <c r="R70" s="128">
        <v>0.28999999999999998</v>
      </c>
      <c r="S70" s="128">
        <v>0.19400000000000001</v>
      </c>
      <c r="T70" s="145">
        <v>1.49</v>
      </c>
      <c r="U70" s="132">
        <v>0.34</v>
      </c>
      <c r="V70" s="125"/>
    </row>
    <row r="71" spans="1:22" ht="14" thickBot="1" x14ac:dyDescent="0.4">
      <c r="A71" s="121" t="s">
        <v>21</v>
      </c>
      <c r="B71" s="122" t="s">
        <v>20</v>
      </c>
      <c r="C71" s="129" t="s">
        <v>121</v>
      </c>
      <c r="D71" s="143" t="s">
        <v>580</v>
      </c>
      <c r="E71" s="143" t="s">
        <v>380</v>
      </c>
      <c r="F71" s="146" t="str">
        <f t="shared" si="1"/>
        <v>1086 lo</v>
      </c>
      <c r="G71" s="123">
        <v>1086</v>
      </c>
      <c r="H71" s="124">
        <v>16</v>
      </c>
      <c r="I71" s="125" t="s">
        <v>374</v>
      </c>
      <c r="J71" s="126">
        <v>45106</v>
      </c>
      <c r="K71" s="125" t="s">
        <v>374</v>
      </c>
      <c r="L71" s="143"/>
      <c r="M71" s="126">
        <v>45106</v>
      </c>
      <c r="N71" s="125" t="s">
        <v>382</v>
      </c>
      <c r="O71" s="127">
        <v>45107.60833333333</v>
      </c>
      <c r="P71" s="132">
        <v>21.3</v>
      </c>
      <c r="Q71" s="125" t="s">
        <v>376</v>
      </c>
      <c r="R71" s="128">
        <v>0.42499999999999999</v>
      </c>
      <c r="S71" s="128">
        <v>0.26500000000000001</v>
      </c>
      <c r="T71" s="128">
        <v>1.6</v>
      </c>
      <c r="U71" s="132">
        <v>0.04</v>
      </c>
      <c r="V71" s="125"/>
    </row>
    <row r="72" spans="1:22" ht="14" thickBot="1" x14ac:dyDescent="0.4">
      <c r="A72" s="131" t="s">
        <v>25</v>
      </c>
      <c r="B72" s="130" t="s">
        <v>39</v>
      </c>
      <c r="C72" s="129" t="s">
        <v>121</v>
      </c>
      <c r="D72" s="143" t="s">
        <v>591</v>
      </c>
      <c r="E72" s="143" t="s">
        <v>380</v>
      </c>
      <c r="F72" s="146" t="str">
        <f t="shared" si="1"/>
        <v>1096 lo</v>
      </c>
      <c r="G72" s="123">
        <v>1096</v>
      </c>
      <c r="H72" s="124">
        <v>16</v>
      </c>
      <c r="I72" s="125" t="s">
        <v>374</v>
      </c>
      <c r="J72" s="126">
        <v>45106</v>
      </c>
      <c r="K72" s="125" t="s">
        <v>374</v>
      </c>
      <c r="L72" s="143"/>
      <c r="M72" s="126">
        <v>45106</v>
      </c>
      <c r="N72" s="125" t="s">
        <v>382</v>
      </c>
      <c r="O72" s="127">
        <v>45107.606585648151</v>
      </c>
      <c r="P72" s="132">
        <v>15.1</v>
      </c>
      <c r="Q72" s="125" t="s">
        <v>376</v>
      </c>
      <c r="R72" s="128">
        <v>0.30199999999999999</v>
      </c>
      <c r="S72" s="128">
        <v>0.184</v>
      </c>
      <c r="T72" s="128">
        <v>1.64</v>
      </c>
      <c r="U72" s="132">
        <v>0.03</v>
      </c>
      <c r="V72" s="125"/>
    </row>
    <row r="73" spans="1:22" ht="14" thickBot="1" x14ac:dyDescent="0.4">
      <c r="A73" s="121" t="s">
        <v>21</v>
      </c>
      <c r="B73" s="122" t="s">
        <v>20</v>
      </c>
      <c r="C73" s="129" t="s">
        <v>121</v>
      </c>
      <c r="D73" s="143" t="s">
        <v>597</v>
      </c>
      <c r="E73" s="143" t="s">
        <v>380</v>
      </c>
      <c r="F73" s="146" t="str">
        <f t="shared" si="1"/>
        <v>1102 lo</v>
      </c>
      <c r="G73" s="123">
        <v>1102</v>
      </c>
      <c r="H73" s="124">
        <v>17</v>
      </c>
      <c r="I73" s="125" t="s">
        <v>374</v>
      </c>
      <c r="J73" s="126">
        <v>45107</v>
      </c>
      <c r="K73" s="125" t="s">
        <v>374</v>
      </c>
      <c r="L73" s="143"/>
      <c r="M73" s="126">
        <v>45107</v>
      </c>
      <c r="N73" s="125" t="s">
        <v>382</v>
      </c>
      <c r="O73" s="127">
        <v>45107.619444444441</v>
      </c>
      <c r="P73" s="132">
        <v>19.600000000000001</v>
      </c>
      <c r="Q73" s="125" t="s">
        <v>376</v>
      </c>
      <c r="R73" s="128">
        <v>0.39200000000000002</v>
      </c>
      <c r="S73" s="128">
        <v>0.247</v>
      </c>
      <c r="T73" s="128">
        <v>1.59</v>
      </c>
      <c r="U73" s="132">
        <v>0.05</v>
      </c>
      <c r="V73" s="125"/>
    </row>
    <row r="74" spans="1:22" ht="14" thickBot="1" x14ac:dyDescent="0.4">
      <c r="A74" s="121" t="s">
        <v>21</v>
      </c>
      <c r="B74" s="130" t="s">
        <v>39</v>
      </c>
      <c r="C74" s="129" t="s">
        <v>121</v>
      </c>
      <c r="D74" s="143" t="s">
        <v>603</v>
      </c>
      <c r="E74" s="143" t="s">
        <v>380</v>
      </c>
      <c r="F74" s="146" t="str">
        <f t="shared" si="1"/>
        <v>1107 lo</v>
      </c>
      <c r="G74" s="123">
        <v>1107</v>
      </c>
      <c r="H74" s="124">
        <v>17</v>
      </c>
      <c r="I74" s="125" t="s">
        <v>374</v>
      </c>
      <c r="J74" s="126">
        <v>45107</v>
      </c>
      <c r="K74" s="125" t="s">
        <v>374</v>
      </c>
      <c r="L74" s="143"/>
      <c r="M74" s="126">
        <v>45107</v>
      </c>
      <c r="N74" s="125" t="s">
        <v>382</v>
      </c>
      <c r="O74" s="127">
        <v>45107.621099537035</v>
      </c>
      <c r="P74" s="132">
        <v>5.6</v>
      </c>
      <c r="Q74" s="125" t="s">
        <v>376</v>
      </c>
      <c r="R74" s="128">
        <v>0.112</v>
      </c>
      <c r="S74" s="128">
        <v>8.7999999999999995E-2</v>
      </c>
      <c r="T74" s="145">
        <v>1.27</v>
      </c>
      <c r="U74" s="132">
        <v>0.27</v>
      </c>
      <c r="V74" s="125"/>
    </row>
    <row r="75" spans="1:22" ht="14" thickBot="1" x14ac:dyDescent="0.4">
      <c r="A75" s="121" t="s">
        <v>21</v>
      </c>
      <c r="B75" s="130" t="s">
        <v>39</v>
      </c>
      <c r="C75" s="129" t="s">
        <v>121</v>
      </c>
      <c r="D75" s="143" t="s">
        <v>607</v>
      </c>
      <c r="E75" s="143" t="s">
        <v>380</v>
      </c>
      <c r="F75" s="146" t="str">
        <f t="shared" si="1"/>
        <v>1108 lo</v>
      </c>
      <c r="G75" s="123">
        <v>1108</v>
      </c>
      <c r="H75" s="124">
        <v>18</v>
      </c>
      <c r="I75" s="125" t="s">
        <v>374</v>
      </c>
      <c r="J75" s="126">
        <v>45113</v>
      </c>
      <c r="K75" s="125" t="s">
        <v>374</v>
      </c>
      <c r="L75" s="143"/>
      <c r="M75" s="126">
        <v>45114</v>
      </c>
      <c r="N75" s="125" t="s">
        <v>382</v>
      </c>
      <c r="O75" s="127">
        <v>45117.458067129628</v>
      </c>
      <c r="P75" s="132">
        <v>5.9</v>
      </c>
      <c r="Q75" s="125" t="s">
        <v>376</v>
      </c>
      <c r="R75" s="128">
        <v>0.11799999999999999</v>
      </c>
      <c r="S75" s="128">
        <v>6.8000000000000005E-2</v>
      </c>
      <c r="T75" s="128">
        <v>1.74</v>
      </c>
      <c r="U75" s="132">
        <v>0.02</v>
      </c>
      <c r="V75" s="125"/>
    </row>
    <row r="76" spans="1:22" ht="14" thickBot="1" x14ac:dyDescent="0.4">
      <c r="A76" s="131" t="s">
        <v>25</v>
      </c>
      <c r="B76" s="130" t="s">
        <v>39</v>
      </c>
      <c r="C76" s="129" t="s">
        <v>121</v>
      </c>
      <c r="D76" s="143" t="s">
        <v>612</v>
      </c>
      <c r="E76" s="143" t="s">
        <v>380</v>
      </c>
      <c r="F76" s="146" t="str">
        <f t="shared" si="1"/>
        <v>1114 lo</v>
      </c>
      <c r="G76" s="123">
        <v>1114</v>
      </c>
      <c r="H76" s="124">
        <v>17</v>
      </c>
      <c r="I76" s="125" t="s">
        <v>374</v>
      </c>
      <c r="J76" s="126">
        <v>45107</v>
      </c>
      <c r="K76" s="125" t="s">
        <v>374</v>
      </c>
      <c r="L76" s="143"/>
      <c r="M76" s="126">
        <v>45107</v>
      </c>
      <c r="N76" s="125" t="s">
        <v>382</v>
      </c>
      <c r="O76" s="127">
        <v>45107.62358796296</v>
      </c>
      <c r="P76" s="132">
        <v>21.8</v>
      </c>
      <c r="Q76" s="125" t="s">
        <v>376</v>
      </c>
      <c r="R76" s="128">
        <v>0.437</v>
      </c>
      <c r="S76" s="128">
        <v>0.27200000000000002</v>
      </c>
      <c r="T76" s="128">
        <v>1.61</v>
      </c>
      <c r="U76" s="132">
        <v>0.19</v>
      </c>
      <c r="V76" s="125"/>
    </row>
    <row r="77" spans="1:22" ht="14" thickBot="1" x14ac:dyDescent="0.4">
      <c r="A77" s="131" t="s">
        <v>25</v>
      </c>
      <c r="B77" s="122" t="s">
        <v>20</v>
      </c>
      <c r="C77" s="129" t="s">
        <v>121</v>
      </c>
      <c r="D77" s="143" t="s">
        <v>616</v>
      </c>
      <c r="E77" s="143" t="s">
        <v>380</v>
      </c>
      <c r="F77" s="146" t="str">
        <f t="shared" si="1"/>
        <v>1118 lo</v>
      </c>
      <c r="G77" s="123">
        <v>1118</v>
      </c>
      <c r="H77" s="124">
        <v>17</v>
      </c>
      <c r="I77" s="125" t="s">
        <v>374</v>
      </c>
      <c r="J77" s="126">
        <v>45107</v>
      </c>
      <c r="K77" s="125" t="s">
        <v>374</v>
      </c>
      <c r="L77" s="143"/>
      <c r="M77" s="126">
        <v>45107</v>
      </c>
      <c r="N77" s="125" t="s">
        <v>382</v>
      </c>
      <c r="O77" s="127">
        <v>45107.625416666669</v>
      </c>
      <c r="P77" s="132">
        <v>6.7</v>
      </c>
      <c r="Q77" s="125" t="s">
        <v>376</v>
      </c>
      <c r="R77" s="128">
        <v>0.13400000000000001</v>
      </c>
      <c r="S77" s="128">
        <v>6.6000000000000003E-2</v>
      </c>
      <c r="T77" s="128">
        <v>2.0099999999999998</v>
      </c>
      <c r="U77" s="132">
        <v>0.01</v>
      </c>
      <c r="V77" s="125"/>
    </row>
    <row r="78" spans="1:22" ht="14" thickBot="1" x14ac:dyDescent="0.4">
      <c r="A78" s="131" t="s">
        <v>25</v>
      </c>
      <c r="B78" s="130" t="s">
        <v>39</v>
      </c>
      <c r="C78" s="129" t="s">
        <v>121</v>
      </c>
      <c r="D78" s="143" t="s">
        <v>622</v>
      </c>
      <c r="E78" s="143" t="s">
        <v>380</v>
      </c>
      <c r="F78" s="146" t="str">
        <f t="shared" si="1"/>
        <v>1124 lo</v>
      </c>
      <c r="G78" s="123">
        <v>1124</v>
      </c>
      <c r="H78" s="124">
        <v>18</v>
      </c>
      <c r="I78" s="125" t="s">
        <v>374</v>
      </c>
      <c r="J78" s="126">
        <v>45113</v>
      </c>
      <c r="K78" s="125" t="s">
        <v>374</v>
      </c>
      <c r="L78" s="143"/>
      <c r="M78" s="126">
        <v>45114</v>
      </c>
      <c r="N78" s="125" t="s">
        <v>382</v>
      </c>
      <c r="O78" s="127">
        <v>45117.459537037037</v>
      </c>
      <c r="P78" s="132">
        <v>9.5</v>
      </c>
      <c r="Q78" s="125" t="s">
        <v>376</v>
      </c>
      <c r="R78" s="128">
        <v>0.19</v>
      </c>
      <c r="S78" s="128">
        <v>0.109</v>
      </c>
      <c r="T78" s="128">
        <v>1.74</v>
      </c>
      <c r="U78" s="132">
        <v>0.02</v>
      </c>
      <c r="V78" s="125"/>
    </row>
    <row r="79" spans="1:22" ht="14" thickBot="1" x14ac:dyDescent="0.4">
      <c r="A79" s="131" t="s">
        <v>25</v>
      </c>
      <c r="B79" s="122" t="s">
        <v>20</v>
      </c>
      <c r="C79" s="129" t="s">
        <v>121</v>
      </c>
      <c r="D79" s="143" t="s">
        <v>626</v>
      </c>
      <c r="E79" s="143" t="s">
        <v>380</v>
      </c>
      <c r="F79" s="146" t="str">
        <f t="shared" si="1"/>
        <v>1126 lo</v>
      </c>
      <c r="G79" s="123">
        <v>1126</v>
      </c>
      <c r="H79" s="124">
        <v>18</v>
      </c>
      <c r="I79" s="125" t="s">
        <v>374</v>
      </c>
      <c r="J79" s="126">
        <v>45114</v>
      </c>
      <c r="K79" s="125" t="s">
        <v>374</v>
      </c>
      <c r="L79" s="143"/>
      <c r="M79" s="126">
        <v>45114</v>
      </c>
      <c r="N79" s="125" t="s">
        <v>382</v>
      </c>
      <c r="O79" s="127">
        <v>45117.461180555554</v>
      </c>
      <c r="P79" s="132">
        <v>4.9000000000000004</v>
      </c>
      <c r="Q79" s="125" t="s">
        <v>376</v>
      </c>
      <c r="R79" s="128">
        <v>9.8000000000000004E-2</v>
      </c>
      <c r="S79" s="128">
        <v>5.7000000000000002E-2</v>
      </c>
      <c r="T79" s="128">
        <v>1.71</v>
      </c>
      <c r="U79" s="132">
        <v>0.14000000000000001</v>
      </c>
      <c r="V79" s="125"/>
    </row>
    <row r="80" spans="1:22" ht="14" thickBot="1" x14ac:dyDescent="0.4">
      <c r="A80" s="121" t="s">
        <v>21</v>
      </c>
      <c r="B80" s="122" t="s">
        <v>20</v>
      </c>
      <c r="C80" s="129" t="s">
        <v>121</v>
      </c>
      <c r="D80" s="143" t="s">
        <v>634</v>
      </c>
      <c r="E80" s="143" t="s">
        <v>380</v>
      </c>
      <c r="F80" s="146" t="str">
        <f t="shared" si="1"/>
        <v>1134 lo</v>
      </c>
      <c r="G80" s="123">
        <v>1134</v>
      </c>
      <c r="H80" s="124">
        <v>18</v>
      </c>
      <c r="I80" s="125" t="s">
        <v>374</v>
      </c>
      <c r="J80" s="126">
        <v>45114</v>
      </c>
      <c r="K80" s="125" t="s">
        <v>374</v>
      </c>
      <c r="L80" s="143"/>
      <c r="M80" s="126">
        <v>45114</v>
      </c>
      <c r="N80" s="125" t="s">
        <v>382</v>
      </c>
      <c r="O80" s="127">
        <v>45117.462881944448</v>
      </c>
      <c r="P80" s="132">
        <v>7</v>
      </c>
      <c r="Q80" s="125" t="s">
        <v>376</v>
      </c>
      <c r="R80" s="128">
        <v>0.14099999999999999</v>
      </c>
      <c r="S80" s="128">
        <v>0.11</v>
      </c>
      <c r="T80" s="145">
        <v>1.28</v>
      </c>
      <c r="U80" s="132">
        <v>7.0000000000000007E-2</v>
      </c>
      <c r="V80" s="125"/>
    </row>
    <row r="81" spans="1:22" ht="14" thickBot="1" x14ac:dyDescent="0.4">
      <c r="A81" s="131" t="s">
        <v>25</v>
      </c>
      <c r="B81" s="122" t="s">
        <v>20</v>
      </c>
      <c r="C81" s="129" t="s">
        <v>121</v>
      </c>
      <c r="D81" s="143" t="s">
        <v>638</v>
      </c>
      <c r="E81" s="143" t="s">
        <v>380</v>
      </c>
      <c r="F81" s="146" t="str">
        <f t="shared" si="1"/>
        <v>1144 lo</v>
      </c>
      <c r="G81" s="123">
        <v>1144</v>
      </c>
      <c r="H81" s="124">
        <v>19</v>
      </c>
      <c r="I81" s="125" t="s">
        <v>374</v>
      </c>
      <c r="J81" s="126">
        <v>45114</v>
      </c>
      <c r="K81" s="125" t="s">
        <v>374</v>
      </c>
      <c r="L81" s="143"/>
      <c r="M81" s="126">
        <v>45114</v>
      </c>
      <c r="N81" s="125" t="s">
        <v>382</v>
      </c>
      <c r="O81" s="127">
        <v>45117.468425925923</v>
      </c>
      <c r="P81" s="132">
        <v>10.199999999999999</v>
      </c>
      <c r="Q81" s="125" t="s">
        <v>376</v>
      </c>
      <c r="R81" s="128">
        <v>0.20399999999999999</v>
      </c>
      <c r="S81" s="128">
        <v>0.13400000000000001</v>
      </c>
      <c r="T81" s="128">
        <v>1.52</v>
      </c>
      <c r="U81" s="132">
        <v>0.09</v>
      </c>
      <c r="V81" s="125"/>
    </row>
    <row r="82" spans="1:22" ht="14" thickBot="1" x14ac:dyDescent="0.4">
      <c r="A82" s="131" t="s">
        <v>25</v>
      </c>
      <c r="B82" s="130" t="s">
        <v>39</v>
      </c>
      <c r="C82" s="122" t="s">
        <v>19</v>
      </c>
      <c r="D82" s="143" t="s">
        <v>384</v>
      </c>
      <c r="E82" s="143" t="s">
        <v>385</v>
      </c>
      <c r="F82" s="146" t="str">
        <f t="shared" si="1"/>
        <v>22 li</v>
      </c>
      <c r="G82" s="134">
        <v>22</v>
      </c>
      <c r="H82" s="135">
        <v>9</v>
      </c>
      <c r="I82" s="136" t="s">
        <v>374</v>
      </c>
      <c r="J82" s="137">
        <v>45022</v>
      </c>
      <c r="K82" s="136" t="s">
        <v>374</v>
      </c>
      <c r="L82" s="143"/>
      <c r="M82" s="137">
        <v>45040</v>
      </c>
      <c r="N82" s="136" t="s">
        <v>386</v>
      </c>
      <c r="O82" s="138">
        <v>45040.833657407406</v>
      </c>
      <c r="P82" s="139">
        <v>265.5</v>
      </c>
      <c r="Q82" s="136" t="s">
        <v>376</v>
      </c>
      <c r="R82" s="139">
        <v>5.3090000000000002</v>
      </c>
      <c r="S82" s="139">
        <v>2.8820000000000001</v>
      </c>
      <c r="T82" s="139">
        <v>1.84</v>
      </c>
      <c r="U82" s="139">
        <v>0.79</v>
      </c>
      <c r="V82" s="136"/>
    </row>
    <row r="83" spans="1:22" ht="14" thickBot="1" x14ac:dyDescent="0.4">
      <c r="A83" s="121" t="s">
        <v>21</v>
      </c>
      <c r="B83" s="122" t="s">
        <v>20</v>
      </c>
      <c r="C83" s="122" t="s">
        <v>19</v>
      </c>
      <c r="D83" s="143" t="s">
        <v>399</v>
      </c>
      <c r="E83" s="143" t="s">
        <v>385</v>
      </c>
      <c r="F83" s="146" t="str">
        <f t="shared" si="1"/>
        <v>32 li</v>
      </c>
      <c r="G83" s="134">
        <v>32</v>
      </c>
      <c r="H83" s="135">
        <v>9</v>
      </c>
      <c r="I83" s="136" t="s">
        <v>374</v>
      </c>
      <c r="J83" s="137">
        <v>45019</v>
      </c>
      <c r="K83" s="136" t="s">
        <v>374</v>
      </c>
      <c r="L83" s="143"/>
      <c r="M83" s="137">
        <v>45040</v>
      </c>
      <c r="N83" s="136" t="s">
        <v>386</v>
      </c>
      <c r="O83" s="138">
        <v>45040.835370370369</v>
      </c>
      <c r="P83" s="139">
        <v>216</v>
      </c>
      <c r="Q83" s="136" t="s">
        <v>376</v>
      </c>
      <c r="R83" s="139">
        <v>4.3209999999999997</v>
      </c>
      <c r="S83" s="139">
        <v>2.3450000000000002</v>
      </c>
      <c r="T83" s="139">
        <v>1.84</v>
      </c>
      <c r="U83" s="139">
        <v>1.9</v>
      </c>
      <c r="V83" s="136"/>
    </row>
    <row r="84" spans="1:22" ht="14" thickBot="1" x14ac:dyDescent="0.4">
      <c r="A84" s="131" t="s">
        <v>25</v>
      </c>
      <c r="B84" s="122" t="s">
        <v>20</v>
      </c>
      <c r="C84" s="122" t="s">
        <v>19</v>
      </c>
      <c r="D84" s="143" t="s">
        <v>405</v>
      </c>
      <c r="E84" s="143" t="s">
        <v>385</v>
      </c>
      <c r="F84" s="146" t="str">
        <f t="shared" si="1"/>
        <v>36 li</v>
      </c>
      <c r="G84" s="134">
        <v>36</v>
      </c>
      <c r="H84" s="135">
        <v>9</v>
      </c>
      <c r="I84" s="136" t="s">
        <v>374</v>
      </c>
      <c r="J84" s="137">
        <v>45016</v>
      </c>
      <c r="K84" s="136" t="s">
        <v>374</v>
      </c>
      <c r="L84" s="143"/>
      <c r="M84" s="137">
        <v>45040</v>
      </c>
      <c r="N84" s="136" t="s">
        <v>386</v>
      </c>
      <c r="O84" s="138">
        <v>45040.836759259262</v>
      </c>
      <c r="P84" s="139">
        <v>229.1</v>
      </c>
      <c r="Q84" s="136" t="s">
        <v>376</v>
      </c>
      <c r="R84" s="139">
        <v>4.5819999999999999</v>
      </c>
      <c r="S84" s="139">
        <v>2.4860000000000002</v>
      </c>
      <c r="T84" s="139">
        <v>1.84</v>
      </c>
      <c r="U84" s="139">
        <v>1.87</v>
      </c>
      <c r="V84" s="136"/>
    </row>
    <row r="85" spans="1:22" ht="14" thickBot="1" x14ac:dyDescent="0.4">
      <c r="A85" s="121" t="s">
        <v>21</v>
      </c>
      <c r="B85" s="130" t="s">
        <v>39</v>
      </c>
      <c r="C85" s="122" t="s">
        <v>19</v>
      </c>
      <c r="D85" s="143" t="s">
        <v>413</v>
      </c>
      <c r="E85" s="143" t="s">
        <v>385</v>
      </c>
      <c r="F85" s="146" t="str">
        <f t="shared" si="1"/>
        <v>50 li</v>
      </c>
      <c r="G85" s="134">
        <v>50</v>
      </c>
      <c r="H85" s="135">
        <v>9</v>
      </c>
      <c r="I85" s="136" t="s">
        <v>374</v>
      </c>
      <c r="J85" s="137">
        <v>45037</v>
      </c>
      <c r="K85" s="136" t="s">
        <v>374</v>
      </c>
      <c r="L85" s="143"/>
      <c r="M85" s="137">
        <v>45040</v>
      </c>
      <c r="N85" s="136" t="s">
        <v>386</v>
      </c>
      <c r="O85" s="138">
        <v>45040.838067129633</v>
      </c>
      <c r="P85" s="139">
        <v>216.4</v>
      </c>
      <c r="Q85" s="136" t="s">
        <v>376</v>
      </c>
      <c r="R85" s="139">
        <v>4.3280000000000003</v>
      </c>
      <c r="S85" s="139">
        <v>2.351</v>
      </c>
      <c r="T85" s="139">
        <v>1.84</v>
      </c>
      <c r="U85" s="139">
        <v>1.56</v>
      </c>
      <c r="V85" s="136"/>
    </row>
    <row r="86" spans="1:22" ht="14" thickBot="1" x14ac:dyDescent="0.4">
      <c r="A86" s="131" t="s">
        <v>25</v>
      </c>
      <c r="B86" s="130" t="s">
        <v>39</v>
      </c>
      <c r="C86" s="122" t="s">
        <v>19</v>
      </c>
      <c r="D86" s="143" t="s">
        <v>419</v>
      </c>
      <c r="E86" s="143" t="s">
        <v>385</v>
      </c>
      <c r="F86" s="146" t="str">
        <f t="shared" si="1"/>
        <v>60 li</v>
      </c>
      <c r="G86" s="134">
        <v>60</v>
      </c>
      <c r="H86" s="135">
        <v>8</v>
      </c>
      <c r="I86" s="136" t="s">
        <v>374</v>
      </c>
      <c r="J86" s="137">
        <v>45037</v>
      </c>
      <c r="K86" s="136" t="s">
        <v>374</v>
      </c>
      <c r="L86" s="143"/>
      <c r="M86" s="137">
        <v>45078</v>
      </c>
      <c r="N86" s="136" t="s">
        <v>420</v>
      </c>
      <c r="O86" s="138">
        <v>45079.463275462964</v>
      </c>
      <c r="P86" s="139">
        <v>351.4</v>
      </c>
      <c r="Q86" s="136" t="s">
        <v>376</v>
      </c>
      <c r="R86" s="139">
        <v>7.0289999999999999</v>
      </c>
      <c r="S86" s="139">
        <v>3.8359999999999999</v>
      </c>
      <c r="T86" s="139">
        <v>1.83</v>
      </c>
      <c r="U86" s="139">
        <v>1.29</v>
      </c>
      <c r="V86" s="136"/>
    </row>
    <row r="87" spans="1:22" ht="14" thickBot="1" x14ac:dyDescent="0.4">
      <c r="A87" s="121" t="s">
        <v>21</v>
      </c>
      <c r="B87" s="122" t="s">
        <v>20</v>
      </c>
      <c r="C87" s="122" t="s">
        <v>19</v>
      </c>
      <c r="D87" s="143" t="s">
        <v>426</v>
      </c>
      <c r="E87" s="143" t="s">
        <v>385</v>
      </c>
      <c r="F87" s="146" t="str">
        <f t="shared" si="1"/>
        <v>70 li</v>
      </c>
      <c r="G87" s="134">
        <v>70</v>
      </c>
      <c r="H87" s="135">
        <v>10</v>
      </c>
      <c r="I87" s="136" t="s">
        <v>374</v>
      </c>
      <c r="J87" s="137">
        <v>45013</v>
      </c>
      <c r="K87" s="136" t="s">
        <v>374</v>
      </c>
      <c r="L87" s="143"/>
      <c r="M87" s="137">
        <v>45057</v>
      </c>
      <c r="N87" s="136" t="s">
        <v>427</v>
      </c>
      <c r="O87" s="138">
        <v>45057.671469907407</v>
      </c>
      <c r="P87" s="139">
        <v>119.2</v>
      </c>
      <c r="Q87" s="136" t="s">
        <v>376</v>
      </c>
      <c r="R87" s="139">
        <v>2.3839999999999999</v>
      </c>
      <c r="S87" s="139">
        <v>1.319</v>
      </c>
      <c r="T87" s="139">
        <v>1.81</v>
      </c>
      <c r="U87" s="139">
        <v>1.1399999999999999</v>
      </c>
      <c r="V87" s="136"/>
    </row>
    <row r="88" spans="1:22" ht="14" thickBot="1" x14ac:dyDescent="0.4">
      <c r="A88" s="121" t="s">
        <v>21</v>
      </c>
      <c r="B88" s="130" t="s">
        <v>39</v>
      </c>
      <c r="C88" s="122" t="s">
        <v>19</v>
      </c>
      <c r="D88" s="143" t="s">
        <v>433</v>
      </c>
      <c r="E88" s="143" t="s">
        <v>385</v>
      </c>
      <c r="F88" s="146" t="str">
        <f t="shared" si="1"/>
        <v>74 li</v>
      </c>
      <c r="G88" s="134">
        <v>74</v>
      </c>
      <c r="H88" s="135">
        <v>10</v>
      </c>
      <c r="I88" s="136" t="s">
        <v>374</v>
      </c>
      <c r="J88" s="137">
        <v>45037</v>
      </c>
      <c r="K88" s="136" t="s">
        <v>374</v>
      </c>
      <c r="L88" s="143"/>
      <c r="M88" s="137">
        <v>45057</v>
      </c>
      <c r="N88" s="136" t="s">
        <v>427</v>
      </c>
      <c r="O88" s="138">
        <v>45057.674664351849</v>
      </c>
      <c r="P88" s="139">
        <v>193.1</v>
      </c>
      <c r="Q88" s="136" t="s">
        <v>376</v>
      </c>
      <c r="R88" s="139">
        <v>3.8620000000000001</v>
      </c>
      <c r="S88" s="139">
        <v>2.1139999999999999</v>
      </c>
      <c r="T88" s="139">
        <v>1.83</v>
      </c>
      <c r="U88" s="139">
        <v>2.23</v>
      </c>
      <c r="V88" s="136"/>
    </row>
    <row r="89" spans="1:22" ht="14" thickBot="1" x14ac:dyDescent="0.4">
      <c r="A89" s="131" t="s">
        <v>25</v>
      </c>
      <c r="B89" s="130" t="s">
        <v>39</v>
      </c>
      <c r="C89" s="122" t="s">
        <v>19</v>
      </c>
      <c r="D89" s="143" t="s">
        <v>437</v>
      </c>
      <c r="E89" s="143" t="s">
        <v>385</v>
      </c>
      <c r="F89" s="146" t="str">
        <f t="shared" si="1"/>
        <v>78 li</v>
      </c>
      <c r="G89" s="134">
        <v>78</v>
      </c>
      <c r="H89" s="135">
        <v>12</v>
      </c>
      <c r="I89" s="136" t="s">
        <v>374</v>
      </c>
      <c r="J89" s="137">
        <v>45027</v>
      </c>
      <c r="K89" s="136" t="s">
        <v>374</v>
      </c>
      <c r="L89" s="143"/>
      <c r="M89" s="137">
        <v>45063</v>
      </c>
      <c r="N89" s="136" t="s">
        <v>392</v>
      </c>
      <c r="O89" s="138">
        <v>45063.632673611108</v>
      </c>
      <c r="P89" s="139">
        <v>178.9</v>
      </c>
      <c r="Q89" s="136" t="s">
        <v>376</v>
      </c>
      <c r="R89" s="139">
        <v>3.5779999999999998</v>
      </c>
      <c r="S89" s="139">
        <v>1.9590000000000001</v>
      </c>
      <c r="T89" s="139">
        <v>1.83</v>
      </c>
      <c r="U89" s="139">
        <v>1.6</v>
      </c>
      <c r="V89" s="136"/>
    </row>
    <row r="90" spans="1:22" ht="14" thickBot="1" x14ac:dyDescent="0.4">
      <c r="A90" s="121" t="s">
        <v>21</v>
      </c>
      <c r="B90" s="130" t="s">
        <v>39</v>
      </c>
      <c r="C90" s="122" t="s">
        <v>19</v>
      </c>
      <c r="D90" s="143" t="s">
        <v>441</v>
      </c>
      <c r="E90" s="143" t="s">
        <v>385</v>
      </c>
      <c r="F90" s="146" t="str">
        <f t="shared" si="1"/>
        <v>82 li</v>
      </c>
      <c r="G90" s="134">
        <v>82</v>
      </c>
      <c r="H90" s="135">
        <v>11</v>
      </c>
      <c r="I90" s="136" t="s">
        <v>374</v>
      </c>
      <c r="J90" s="137">
        <v>45035</v>
      </c>
      <c r="K90" s="136" t="s">
        <v>374</v>
      </c>
      <c r="L90" s="143"/>
      <c r="M90" s="137">
        <v>45058</v>
      </c>
      <c r="N90" s="136" t="s">
        <v>392</v>
      </c>
      <c r="O90" s="138">
        <v>45058.536956018521</v>
      </c>
      <c r="P90" s="139">
        <v>156.80000000000001</v>
      </c>
      <c r="Q90" s="136" t="s">
        <v>376</v>
      </c>
      <c r="R90" s="139">
        <v>3.1349999999999998</v>
      </c>
      <c r="S90" s="139">
        <v>1.716</v>
      </c>
      <c r="T90" s="139">
        <v>1.83</v>
      </c>
      <c r="U90" s="139">
        <v>1.61</v>
      </c>
      <c r="V90" s="136"/>
    </row>
    <row r="91" spans="1:22" ht="14" thickBot="1" x14ac:dyDescent="0.4">
      <c r="A91" s="121" t="s">
        <v>21</v>
      </c>
      <c r="B91" s="122" t="s">
        <v>20</v>
      </c>
      <c r="C91" s="122" t="s">
        <v>19</v>
      </c>
      <c r="D91" s="143" t="s">
        <v>447</v>
      </c>
      <c r="E91" s="143" t="s">
        <v>385</v>
      </c>
      <c r="F91" s="146" t="str">
        <f t="shared" si="1"/>
        <v>86 li</v>
      </c>
      <c r="G91" s="134">
        <v>86</v>
      </c>
      <c r="H91" s="135">
        <v>11</v>
      </c>
      <c r="I91" s="136" t="s">
        <v>374</v>
      </c>
      <c r="J91" s="137">
        <v>45006</v>
      </c>
      <c r="K91" s="136" t="s">
        <v>374</v>
      </c>
      <c r="L91" s="143"/>
      <c r="M91" s="137">
        <v>45058</v>
      </c>
      <c r="N91" s="136" t="s">
        <v>392</v>
      </c>
      <c r="O91" s="138">
        <v>45058.537847222222</v>
      </c>
      <c r="P91" s="139">
        <v>116</v>
      </c>
      <c r="Q91" s="136" t="s">
        <v>376</v>
      </c>
      <c r="R91" s="139">
        <v>2.3199999999999998</v>
      </c>
      <c r="S91" s="139">
        <v>1.266</v>
      </c>
      <c r="T91" s="139">
        <v>1.83</v>
      </c>
      <c r="U91" s="139">
        <v>2.13</v>
      </c>
      <c r="V91" s="136"/>
    </row>
    <row r="92" spans="1:22" ht="14" thickBot="1" x14ac:dyDescent="0.4">
      <c r="A92" s="131" t="s">
        <v>25</v>
      </c>
      <c r="B92" s="122" t="s">
        <v>20</v>
      </c>
      <c r="C92" s="122" t="s">
        <v>19</v>
      </c>
      <c r="D92" s="143" t="s">
        <v>451</v>
      </c>
      <c r="E92" s="143" t="s">
        <v>385</v>
      </c>
      <c r="F92" s="146" t="str">
        <f t="shared" si="1"/>
        <v>90 li</v>
      </c>
      <c r="G92" s="134">
        <v>90</v>
      </c>
      <c r="H92" s="135">
        <v>10</v>
      </c>
      <c r="I92" s="136" t="s">
        <v>374</v>
      </c>
      <c r="J92" s="137">
        <v>45019</v>
      </c>
      <c r="K92" s="136" t="s">
        <v>374</v>
      </c>
      <c r="L92" s="143"/>
      <c r="M92" s="137">
        <v>45057</v>
      </c>
      <c r="N92" s="136" t="s">
        <v>427</v>
      </c>
      <c r="O92" s="138">
        <v>45057.677430555559</v>
      </c>
      <c r="P92" s="139">
        <v>93.8</v>
      </c>
      <c r="Q92" s="136" t="s">
        <v>376</v>
      </c>
      <c r="R92" s="139">
        <v>1.877</v>
      </c>
      <c r="S92" s="139">
        <v>1.0169999999999999</v>
      </c>
      <c r="T92" s="139">
        <v>1.85</v>
      </c>
      <c r="U92" s="132">
        <v>0.14000000000000001</v>
      </c>
      <c r="V92" s="136"/>
    </row>
    <row r="93" spans="1:22" ht="14" thickBot="1" x14ac:dyDescent="0.4">
      <c r="A93" s="131" t="s">
        <v>25</v>
      </c>
      <c r="B93" s="130" t="s">
        <v>39</v>
      </c>
      <c r="C93" s="122" t="s">
        <v>19</v>
      </c>
      <c r="D93" s="143" t="s">
        <v>457</v>
      </c>
      <c r="E93" s="143" t="s">
        <v>385</v>
      </c>
      <c r="F93" s="146" t="str">
        <f t="shared" si="1"/>
        <v>96 li</v>
      </c>
      <c r="G93" s="134">
        <v>96</v>
      </c>
      <c r="H93" s="135">
        <v>13</v>
      </c>
      <c r="I93" s="136" t="s">
        <v>374</v>
      </c>
      <c r="J93" s="137">
        <v>45033</v>
      </c>
      <c r="K93" s="136" t="s">
        <v>374</v>
      </c>
      <c r="L93" s="143"/>
      <c r="M93" s="137">
        <v>45061</v>
      </c>
      <c r="N93" s="136" t="s">
        <v>427</v>
      </c>
      <c r="O93" s="138">
        <v>45061.633101851854</v>
      </c>
      <c r="P93" s="132">
        <v>41.5</v>
      </c>
      <c r="Q93" s="136" t="s">
        <v>376</v>
      </c>
      <c r="R93" s="139">
        <v>0.83</v>
      </c>
      <c r="S93" s="139">
        <v>0.49299999999999999</v>
      </c>
      <c r="T93" s="139">
        <v>1.68</v>
      </c>
      <c r="U93" s="139">
        <v>0.95</v>
      </c>
      <c r="V93" s="136"/>
    </row>
    <row r="94" spans="1:22" ht="14" thickBot="1" x14ac:dyDescent="0.4">
      <c r="A94" s="121" t="s">
        <v>21</v>
      </c>
      <c r="B94" s="122" t="s">
        <v>20</v>
      </c>
      <c r="C94" s="122" t="s">
        <v>19</v>
      </c>
      <c r="D94" s="143" t="s">
        <v>463</v>
      </c>
      <c r="E94" s="143" t="s">
        <v>385</v>
      </c>
      <c r="F94" s="146" t="str">
        <f t="shared" si="1"/>
        <v>102 li</v>
      </c>
      <c r="G94" s="134">
        <v>102</v>
      </c>
      <c r="H94" s="135">
        <v>12</v>
      </c>
      <c r="I94" s="136" t="s">
        <v>374</v>
      </c>
      <c r="J94" s="137">
        <v>45019</v>
      </c>
      <c r="K94" s="136" t="s">
        <v>374</v>
      </c>
      <c r="L94" s="143"/>
      <c r="M94" s="137">
        <v>45063</v>
      </c>
      <c r="N94" s="136" t="s">
        <v>392</v>
      </c>
      <c r="O94" s="138">
        <v>45063.634166666663</v>
      </c>
      <c r="P94" s="139">
        <v>119.9</v>
      </c>
      <c r="Q94" s="136" t="s">
        <v>376</v>
      </c>
      <c r="R94" s="139">
        <v>2.3969999999999998</v>
      </c>
      <c r="S94" s="139">
        <v>1.3220000000000001</v>
      </c>
      <c r="T94" s="139">
        <v>1.81</v>
      </c>
      <c r="U94" s="139">
        <v>0.8</v>
      </c>
      <c r="V94" s="136"/>
    </row>
    <row r="95" spans="1:22" ht="14" thickBot="1" x14ac:dyDescent="0.4">
      <c r="A95" s="121" t="s">
        <v>21</v>
      </c>
      <c r="B95" s="130" t="s">
        <v>39</v>
      </c>
      <c r="C95" s="122" t="s">
        <v>19</v>
      </c>
      <c r="D95" s="143" t="s">
        <v>472</v>
      </c>
      <c r="E95" s="143" t="s">
        <v>385</v>
      </c>
      <c r="F95" s="146" t="str">
        <f t="shared" si="1"/>
        <v>108 li</v>
      </c>
      <c r="G95" s="134">
        <v>108</v>
      </c>
      <c r="H95" s="135">
        <v>12</v>
      </c>
      <c r="I95" s="136" t="s">
        <v>374</v>
      </c>
      <c r="J95" s="137">
        <v>45037</v>
      </c>
      <c r="K95" s="136" t="s">
        <v>374</v>
      </c>
      <c r="L95" s="143"/>
      <c r="M95" s="137">
        <v>45063</v>
      </c>
      <c r="N95" s="136" t="s">
        <v>392</v>
      </c>
      <c r="O95" s="138">
        <v>45063.634988425925</v>
      </c>
      <c r="P95" s="139">
        <v>236.3</v>
      </c>
      <c r="Q95" s="136" t="s">
        <v>376</v>
      </c>
      <c r="R95" s="139">
        <v>4.7270000000000003</v>
      </c>
      <c r="S95" s="139">
        <v>2.5840000000000001</v>
      </c>
      <c r="T95" s="139">
        <v>1.83</v>
      </c>
      <c r="U95" s="139">
        <v>1.93</v>
      </c>
      <c r="V95" s="136"/>
    </row>
    <row r="96" spans="1:22" ht="14" thickBot="1" x14ac:dyDescent="0.4">
      <c r="A96" s="131" t="s">
        <v>25</v>
      </c>
      <c r="B96" s="122" t="s">
        <v>20</v>
      </c>
      <c r="C96" s="122" t="s">
        <v>19</v>
      </c>
      <c r="D96" s="143" t="s">
        <v>478</v>
      </c>
      <c r="E96" s="143" t="s">
        <v>385</v>
      </c>
      <c r="F96" s="146" t="str">
        <f t="shared" si="1"/>
        <v>118 li</v>
      </c>
      <c r="G96" s="134">
        <v>118</v>
      </c>
      <c r="H96" s="135">
        <v>11</v>
      </c>
      <c r="I96" s="136" t="s">
        <v>374</v>
      </c>
      <c r="J96" s="137">
        <v>45022</v>
      </c>
      <c r="K96" s="136" t="s">
        <v>374</v>
      </c>
      <c r="L96" s="143"/>
      <c r="M96" s="137">
        <v>45058</v>
      </c>
      <c r="N96" s="136" t="s">
        <v>392</v>
      </c>
      <c r="O96" s="138">
        <v>45058.538645833331</v>
      </c>
      <c r="P96" s="139">
        <v>131.6</v>
      </c>
      <c r="Q96" s="136" t="s">
        <v>376</v>
      </c>
      <c r="R96" s="139">
        <v>2.6320000000000001</v>
      </c>
      <c r="S96" s="139">
        <v>1.4470000000000001</v>
      </c>
      <c r="T96" s="139">
        <v>1.82</v>
      </c>
      <c r="U96" s="139">
        <v>1.26</v>
      </c>
      <c r="V96" s="136"/>
    </row>
    <row r="97" spans="1:22" ht="14" thickBot="1" x14ac:dyDescent="0.4">
      <c r="A97" s="121" t="s">
        <v>21</v>
      </c>
      <c r="B97" s="122" t="s">
        <v>20</v>
      </c>
      <c r="C97" s="122" t="s">
        <v>19</v>
      </c>
      <c r="D97" s="143" t="s">
        <v>482</v>
      </c>
      <c r="E97" s="143" t="s">
        <v>385</v>
      </c>
      <c r="F97" s="146" t="str">
        <f t="shared" si="1"/>
        <v>122 li</v>
      </c>
      <c r="G97" s="134">
        <v>122</v>
      </c>
      <c r="H97" s="135">
        <v>13</v>
      </c>
      <c r="I97" s="136" t="s">
        <v>374</v>
      </c>
      <c r="J97" s="137">
        <v>45013</v>
      </c>
      <c r="K97" s="136" t="s">
        <v>374</v>
      </c>
      <c r="L97" s="143"/>
      <c r="M97" s="137">
        <v>45061</v>
      </c>
      <c r="N97" s="136" t="s">
        <v>427</v>
      </c>
      <c r="O97" s="138">
        <v>45061.635393518518</v>
      </c>
      <c r="P97" s="132">
        <v>30.4</v>
      </c>
      <c r="Q97" s="136" t="s">
        <v>376</v>
      </c>
      <c r="R97" s="139">
        <v>0.60899999999999999</v>
      </c>
      <c r="S97" s="139">
        <v>0.36199999999999999</v>
      </c>
      <c r="T97" s="139">
        <v>1.68</v>
      </c>
      <c r="U97" s="139">
        <v>0.69</v>
      </c>
      <c r="V97" s="136"/>
    </row>
    <row r="98" spans="1:22" ht="14" thickBot="1" x14ac:dyDescent="0.4">
      <c r="A98" s="131" t="s">
        <v>25</v>
      </c>
      <c r="B98" s="130" t="s">
        <v>39</v>
      </c>
      <c r="C98" s="122" t="s">
        <v>19</v>
      </c>
      <c r="D98" s="143" t="s">
        <v>486</v>
      </c>
      <c r="E98" s="143" t="s">
        <v>385</v>
      </c>
      <c r="F98" s="146" t="str">
        <f t="shared" si="1"/>
        <v>124 li</v>
      </c>
      <c r="G98" s="134">
        <v>124</v>
      </c>
      <c r="H98" s="135">
        <v>8</v>
      </c>
      <c r="I98" s="136" t="s">
        <v>374</v>
      </c>
      <c r="J98" s="137">
        <v>45022</v>
      </c>
      <c r="K98" s="136" t="s">
        <v>374</v>
      </c>
      <c r="L98" s="143"/>
      <c r="M98" s="137">
        <v>45078</v>
      </c>
      <c r="N98" s="136" t="s">
        <v>420</v>
      </c>
      <c r="O98" s="138">
        <v>45079.456759259258</v>
      </c>
      <c r="P98" s="139">
        <v>187.3</v>
      </c>
      <c r="Q98" s="136" t="s">
        <v>376</v>
      </c>
      <c r="R98" s="139">
        <v>3.746</v>
      </c>
      <c r="S98" s="139">
        <v>2.052</v>
      </c>
      <c r="T98" s="139">
        <v>1.83</v>
      </c>
      <c r="U98" s="139">
        <v>0.93</v>
      </c>
      <c r="V98" s="136"/>
    </row>
    <row r="99" spans="1:22" ht="14" thickBot="1" x14ac:dyDescent="0.4">
      <c r="A99" s="131" t="s">
        <v>25</v>
      </c>
      <c r="B99" s="122" t="s">
        <v>20</v>
      </c>
      <c r="C99" s="122" t="s">
        <v>19</v>
      </c>
      <c r="D99" s="143" t="s">
        <v>490</v>
      </c>
      <c r="E99" s="143" t="s">
        <v>385</v>
      </c>
      <c r="F99" s="146" t="str">
        <f t="shared" si="1"/>
        <v>126 li</v>
      </c>
      <c r="G99" s="134">
        <v>126</v>
      </c>
      <c r="H99" s="135">
        <v>12</v>
      </c>
      <c r="I99" s="136" t="s">
        <v>374</v>
      </c>
      <c r="J99" s="137">
        <v>45006</v>
      </c>
      <c r="K99" s="136" t="s">
        <v>374</v>
      </c>
      <c r="L99" s="143"/>
      <c r="M99" s="137">
        <v>45063</v>
      </c>
      <c r="N99" s="136" t="s">
        <v>392</v>
      </c>
      <c r="O99" s="138">
        <v>45063.635775462964</v>
      </c>
      <c r="P99" s="139">
        <v>182.5</v>
      </c>
      <c r="Q99" s="136" t="s">
        <v>376</v>
      </c>
      <c r="R99" s="139">
        <v>3.6509999999999998</v>
      </c>
      <c r="S99" s="139">
        <v>1.9990000000000001</v>
      </c>
      <c r="T99" s="139">
        <v>1.83</v>
      </c>
      <c r="U99" s="139">
        <v>1.8</v>
      </c>
      <c r="V99" s="136" t="s">
        <v>491</v>
      </c>
    </row>
    <row r="100" spans="1:22" ht="14" thickBot="1" x14ac:dyDescent="0.4">
      <c r="A100" s="121" t="s">
        <v>21</v>
      </c>
      <c r="B100" s="130" t="s">
        <v>39</v>
      </c>
      <c r="C100" s="122" t="s">
        <v>19</v>
      </c>
      <c r="D100" s="143" t="s">
        <v>497</v>
      </c>
      <c r="E100" s="143" t="s">
        <v>385</v>
      </c>
      <c r="F100" s="146" t="str">
        <f t="shared" si="1"/>
        <v>130 li</v>
      </c>
      <c r="G100" s="134">
        <v>130</v>
      </c>
      <c r="H100" s="135">
        <v>13</v>
      </c>
      <c r="I100" s="136" t="s">
        <v>374</v>
      </c>
      <c r="J100" s="137">
        <v>45037</v>
      </c>
      <c r="K100" s="136" t="s">
        <v>374</v>
      </c>
      <c r="L100" s="143"/>
      <c r="M100" s="137">
        <v>45061</v>
      </c>
      <c r="N100" s="136" t="s">
        <v>427</v>
      </c>
      <c r="O100" s="138">
        <v>45061.637719907405</v>
      </c>
      <c r="P100" s="132">
        <v>31.5</v>
      </c>
      <c r="Q100" s="136" t="s">
        <v>376</v>
      </c>
      <c r="R100" s="139">
        <v>0.629</v>
      </c>
      <c r="S100" s="139">
        <v>0.35499999999999998</v>
      </c>
      <c r="T100" s="139">
        <v>1.77</v>
      </c>
      <c r="U100" s="139">
        <v>0.87</v>
      </c>
      <c r="V100" s="136"/>
    </row>
    <row r="101" spans="1:22" ht="14" thickBot="1" x14ac:dyDescent="0.4">
      <c r="A101" s="131" t="s">
        <v>25</v>
      </c>
      <c r="B101" s="122" t="s">
        <v>20</v>
      </c>
      <c r="C101" s="122" t="s">
        <v>19</v>
      </c>
      <c r="D101" s="143" t="s">
        <v>510</v>
      </c>
      <c r="E101" s="143" t="s">
        <v>385</v>
      </c>
      <c r="F101" s="146" t="str">
        <f t="shared" si="1"/>
        <v>144 li</v>
      </c>
      <c r="G101" s="134">
        <v>144</v>
      </c>
      <c r="H101" s="135">
        <v>13</v>
      </c>
      <c r="I101" s="136" t="s">
        <v>374</v>
      </c>
      <c r="J101" s="137">
        <v>45013</v>
      </c>
      <c r="K101" s="136" t="s">
        <v>374</v>
      </c>
      <c r="L101" s="143"/>
      <c r="M101" s="137">
        <v>45061</v>
      </c>
      <c r="N101" s="136" t="s">
        <v>427</v>
      </c>
      <c r="O101" s="138">
        <v>45061.639687499999</v>
      </c>
      <c r="P101" s="132">
        <v>34.9</v>
      </c>
      <c r="Q101" s="136" t="s">
        <v>376</v>
      </c>
      <c r="R101" s="139">
        <v>0.69799999999999995</v>
      </c>
      <c r="S101" s="139">
        <v>0.39300000000000002</v>
      </c>
      <c r="T101" s="139">
        <v>1.78</v>
      </c>
      <c r="U101" s="132">
        <v>0.33</v>
      </c>
      <c r="V101" s="136"/>
    </row>
    <row r="102" spans="1:22" ht="14" thickBot="1" x14ac:dyDescent="0.4">
      <c r="A102" s="131" t="s">
        <v>25</v>
      </c>
      <c r="B102" s="122" t="s">
        <v>20</v>
      </c>
      <c r="C102" s="129" t="s">
        <v>121</v>
      </c>
      <c r="D102" s="143" t="s">
        <v>516</v>
      </c>
      <c r="E102" s="143" t="s">
        <v>385</v>
      </c>
      <c r="F102" s="146" t="str">
        <f t="shared" si="1"/>
        <v>1004 li</v>
      </c>
      <c r="G102" s="134">
        <v>1004</v>
      </c>
      <c r="H102" s="135">
        <v>8</v>
      </c>
      <c r="I102" s="136" t="s">
        <v>374</v>
      </c>
      <c r="J102" s="137">
        <v>45037</v>
      </c>
      <c r="K102" s="136" t="s">
        <v>374</v>
      </c>
      <c r="L102" s="143"/>
      <c r="M102" s="137">
        <v>45078</v>
      </c>
      <c r="N102" s="136" t="s">
        <v>420</v>
      </c>
      <c r="O102" s="138">
        <v>45079.457997685182</v>
      </c>
      <c r="P102" s="139">
        <v>278.39999999999998</v>
      </c>
      <c r="Q102" s="136" t="s">
        <v>376</v>
      </c>
      <c r="R102" s="139">
        <v>5.5679999999999996</v>
      </c>
      <c r="S102" s="139">
        <v>3.036</v>
      </c>
      <c r="T102" s="139">
        <v>1.83</v>
      </c>
      <c r="U102" s="139">
        <v>1.35</v>
      </c>
      <c r="V102" s="140" t="s">
        <v>517</v>
      </c>
    </row>
    <row r="103" spans="1:22" ht="14" thickBot="1" x14ac:dyDescent="0.4">
      <c r="A103" s="131" t="s">
        <v>25</v>
      </c>
      <c r="B103" s="130" t="s">
        <v>39</v>
      </c>
      <c r="C103" s="129" t="s">
        <v>121</v>
      </c>
      <c r="D103" s="143" t="s">
        <v>526</v>
      </c>
      <c r="E103" s="143" t="s">
        <v>385</v>
      </c>
      <c r="F103" s="146" t="str">
        <f t="shared" si="1"/>
        <v>1022 li</v>
      </c>
      <c r="G103" s="134">
        <v>1022</v>
      </c>
      <c r="H103" s="135">
        <v>9</v>
      </c>
      <c r="I103" s="136" t="s">
        <v>374</v>
      </c>
      <c r="J103" s="137">
        <v>45027</v>
      </c>
      <c r="K103" s="136" t="s">
        <v>374</v>
      </c>
      <c r="L103" s="143"/>
      <c r="M103" s="137">
        <v>45040</v>
      </c>
      <c r="N103" s="136" t="s">
        <v>386</v>
      </c>
      <c r="O103" s="138">
        <v>45040.839074074072</v>
      </c>
      <c r="P103" s="139">
        <v>210.1</v>
      </c>
      <c r="Q103" s="136" t="s">
        <v>376</v>
      </c>
      <c r="R103" s="139">
        <v>4.2030000000000003</v>
      </c>
      <c r="S103" s="139">
        <v>2.2789999999999999</v>
      </c>
      <c r="T103" s="139">
        <v>1.84</v>
      </c>
      <c r="U103" s="139">
        <v>1.03</v>
      </c>
      <c r="V103" s="136"/>
    </row>
    <row r="104" spans="1:22" ht="14" thickBot="1" x14ac:dyDescent="0.4">
      <c r="A104" s="121" t="s">
        <v>21</v>
      </c>
      <c r="B104" s="122" t="s">
        <v>20</v>
      </c>
      <c r="C104" s="129" t="s">
        <v>121</v>
      </c>
      <c r="D104" s="143" t="s">
        <v>538</v>
      </c>
      <c r="E104" s="143" t="s">
        <v>385</v>
      </c>
      <c r="F104" s="146" t="str">
        <f t="shared" si="1"/>
        <v>1032 li</v>
      </c>
      <c r="G104" s="134">
        <v>1032</v>
      </c>
      <c r="H104" s="135">
        <v>9</v>
      </c>
      <c r="I104" s="136" t="s">
        <v>374</v>
      </c>
      <c r="J104" s="137">
        <v>45035</v>
      </c>
      <c r="K104" s="136" t="s">
        <v>374</v>
      </c>
      <c r="L104" s="143"/>
      <c r="M104" s="137">
        <v>45040</v>
      </c>
      <c r="N104" s="136" t="s">
        <v>386</v>
      </c>
      <c r="O104" s="138">
        <v>45040.840428240743</v>
      </c>
      <c r="P104" s="139">
        <v>211.6</v>
      </c>
      <c r="Q104" s="136" t="s">
        <v>376</v>
      </c>
      <c r="R104" s="139">
        <v>4.2320000000000002</v>
      </c>
      <c r="S104" s="139">
        <v>2.3140000000000001</v>
      </c>
      <c r="T104" s="139">
        <v>1.83</v>
      </c>
      <c r="U104" s="139">
        <v>1.99</v>
      </c>
      <c r="V104" s="136"/>
    </row>
    <row r="105" spans="1:22" ht="14" thickBot="1" x14ac:dyDescent="0.4">
      <c r="A105" s="121" t="s">
        <v>21</v>
      </c>
      <c r="B105" s="130" t="s">
        <v>39</v>
      </c>
      <c r="C105" s="129" t="s">
        <v>121</v>
      </c>
      <c r="D105" s="143" t="s">
        <v>546</v>
      </c>
      <c r="E105" s="143" t="s">
        <v>385</v>
      </c>
      <c r="F105" s="146" t="str">
        <f t="shared" si="1"/>
        <v>1046 li</v>
      </c>
      <c r="G105" s="134">
        <v>1046</v>
      </c>
      <c r="H105" s="135">
        <v>9</v>
      </c>
      <c r="I105" s="136" t="s">
        <v>374</v>
      </c>
      <c r="J105" s="137">
        <v>45027</v>
      </c>
      <c r="K105" s="136" t="s">
        <v>374</v>
      </c>
      <c r="L105" s="143"/>
      <c r="M105" s="137">
        <v>45040</v>
      </c>
      <c r="N105" s="136" t="s">
        <v>386</v>
      </c>
      <c r="O105" s="138">
        <v>45040.841921296298</v>
      </c>
      <c r="P105" s="139">
        <v>329.9</v>
      </c>
      <c r="Q105" s="136" t="s">
        <v>376</v>
      </c>
      <c r="R105" s="139">
        <v>6.5979999999999999</v>
      </c>
      <c r="S105" s="139">
        <v>3.577</v>
      </c>
      <c r="T105" s="139">
        <v>1.84</v>
      </c>
      <c r="U105" s="139">
        <v>1.46</v>
      </c>
      <c r="V105" s="144" t="s">
        <v>547</v>
      </c>
    </row>
    <row r="106" spans="1:22" ht="14" thickBot="1" x14ac:dyDescent="0.4">
      <c r="A106" s="121" t="s">
        <v>21</v>
      </c>
      <c r="B106" s="130" t="s">
        <v>39</v>
      </c>
      <c r="C106" s="129" t="s">
        <v>121</v>
      </c>
      <c r="D106" s="143" t="s">
        <v>555</v>
      </c>
      <c r="E106" s="143" t="s">
        <v>385</v>
      </c>
      <c r="F106" s="146" t="str">
        <f t="shared" si="1"/>
        <v>1058 li</v>
      </c>
      <c r="G106" s="134">
        <v>1058</v>
      </c>
      <c r="H106" s="135">
        <v>10</v>
      </c>
      <c r="I106" s="136" t="s">
        <v>374</v>
      </c>
      <c r="J106" s="137">
        <v>45027</v>
      </c>
      <c r="K106" s="136" t="s">
        <v>374</v>
      </c>
      <c r="L106" s="143"/>
      <c r="M106" s="137">
        <v>45057</v>
      </c>
      <c r="N106" s="136" t="s">
        <v>427</v>
      </c>
      <c r="O106" s="138">
        <v>45057.679988425924</v>
      </c>
      <c r="P106" s="139">
        <v>124.7</v>
      </c>
      <c r="Q106" s="136" t="s">
        <v>376</v>
      </c>
      <c r="R106" s="139">
        <v>2.4929999999999999</v>
      </c>
      <c r="S106" s="139">
        <v>1.3740000000000001</v>
      </c>
      <c r="T106" s="139">
        <v>1.82</v>
      </c>
      <c r="U106" s="139">
        <v>1.28</v>
      </c>
      <c r="V106" s="136"/>
    </row>
    <row r="107" spans="1:22" ht="14" thickBot="1" x14ac:dyDescent="0.4">
      <c r="A107" s="131" t="s">
        <v>25</v>
      </c>
      <c r="B107" s="130" t="s">
        <v>39</v>
      </c>
      <c r="C107" s="129" t="s">
        <v>121</v>
      </c>
      <c r="D107" s="143" t="s">
        <v>559</v>
      </c>
      <c r="E107" s="143" t="s">
        <v>385</v>
      </c>
      <c r="F107" s="146" t="str">
        <f t="shared" si="1"/>
        <v>1060 li</v>
      </c>
      <c r="G107" s="134">
        <v>1060</v>
      </c>
      <c r="H107" s="135">
        <v>10</v>
      </c>
      <c r="I107" s="136" t="s">
        <v>374</v>
      </c>
      <c r="J107" s="137">
        <v>45013</v>
      </c>
      <c r="K107" s="136" t="s">
        <v>374</v>
      </c>
      <c r="L107" s="143"/>
      <c r="M107" s="137">
        <v>45057</v>
      </c>
      <c r="N107" s="136" t="s">
        <v>427</v>
      </c>
      <c r="O107" s="138">
        <v>45057.681064814817</v>
      </c>
      <c r="P107" s="139">
        <v>110.8</v>
      </c>
      <c r="Q107" s="136" t="s">
        <v>376</v>
      </c>
      <c r="R107" s="139">
        <v>2.2160000000000002</v>
      </c>
      <c r="S107" s="139">
        <v>1.2250000000000001</v>
      </c>
      <c r="T107" s="139">
        <v>1.81</v>
      </c>
      <c r="U107" s="139">
        <v>1.27</v>
      </c>
      <c r="V107" s="136"/>
    </row>
    <row r="108" spans="1:22" ht="14" thickBot="1" x14ac:dyDescent="0.4">
      <c r="A108" s="131" t="s">
        <v>25</v>
      </c>
      <c r="B108" s="122" t="s">
        <v>20</v>
      </c>
      <c r="C108" s="129" t="s">
        <v>121</v>
      </c>
      <c r="D108" s="143" t="s">
        <v>563</v>
      </c>
      <c r="E108" s="143" t="s">
        <v>385</v>
      </c>
      <c r="F108" s="146" t="str">
        <f t="shared" si="1"/>
        <v>1064 li</v>
      </c>
      <c r="G108" s="134">
        <v>1064</v>
      </c>
      <c r="H108" s="135">
        <v>9</v>
      </c>
      <c r="I108" s="136" t="s">
        <v>374</v>
      </c>
      <c r="J108" s="137">
        <v>45033</v>
      </c>
      <c r="K108" s="136" t="s">
        <v>374</v>
      </c>
      <c r="L108" s="143"/>
      <c r="M108" s="137">
        <v>45040</v>
      </c>
      <c r="N108" s="136" t="s">
        <v>386</v>
      </c>
      <c r="O108" s="138">
        <v>45040.843321759261</v>
      </c>
      <c r="P108" s="139">
        <v>300.5</v>
      </c>
      <c r="Q108" s="136" t="s">
        <v>376</v>
      </c>
      <c r="R108" s="139">
        <v>6.0090000000000003</v>
      </c>
      <c r="S108" s="139">
        <v>3.2429999999999999</v>
      </c>
      <c r="T108" s="139">
        <v>1.85</v>
      </c>
      <c r="U108" s="139">
        <v>0.61</v>
      </c>
      <c r="V108" s="136"/>
    </row>
    <row r="109" spans="1:22" ht="14" thickBot="1" x14ac:dyDescent="0.4">
      <c r="A109" s="121" t="s">
        <v>21</v>
      </c>
      <c r="B109" s="122" t="s">
        <v>20</v>
      </c>
      <c r="C109" s="129" t="s">
        <v>121</v>
      </c>
      <c r="D109" s="143" t="s">
        <v>567</v>
      </c>
      <c r="E109" s="143" t="s">
        <v>385</v>
      </c>
      <c r="F109" s="146" t="str">
        <f t="shared" si="1"/>
        <v>1070 li</v>
      </c>
      <c r="G109" s="134">
        <v>1070</v>
      </c>
      <c r="H109" s="135">
        <v>12</v>
      </c>
      <c r="I109" s="136" t="s">
        <v>374</v>
      </c>
      <c r="J109" s="137">
        <v>45035</v>
      </c>
      <c r="K109" s="136" t="s">
        <v>374</v>
      </c>
      <c r="L109" s="143"/>
      <c r="M109" s="137">
        <v>45063</v>
      </c>
      <c r="N109" s="136" t="s">
        <v>392</v>
      </c>
      <c r="O109" s="138">
        <v>45063.636574074073</v>
      </c>
      <c r="P109" s="139">
        <v>190.9</v>
      </c>
      <c r="Q109" s="136" t="s">
        <v>376</v>
      </c>
      <c r="R109" s="139">
        <v>3.8180000000000001</v>
      </c>
      <c r="S109" s="139">
        <v>2.0739999999999998</v>
      </c>
      <c r="T109" s="139">
        <v>1.84</v>
      </c>
      <c r="U109" s="139">
        <v>0.56999999999999995</v>
      </c>
      <c r="V109" s="136"/>
    </row>
    <row r="110" spans="1:22" ht="14" thickBot="1" x14ac:dyDescent="0.4">
      <c r="A110" s="121" t="s">
        <v>21</v>
      </c>
      <c r="B110" s="130" t="s">
        <v>39</v>
      </c>
      <c r="C110" s="129" t="s">
        <v>121</v>
      </c>
      <c r="D110" s="143" t="s">
        <v>573</v>
      </c>
      <c r="E110" s="143" t="s">
        <v>385</v>
      </c>
      <c r="F110" s="146" t="str">
        <f t="shared" si="1"/>
        <v>1074 li</v>
      </c>
      <c r="G110" s="134">
        <v>1074</v>
      </c>
      <c r="H110" s="135">
        <v>11</v>
      </c>
      <c r="I110" s="136" t="s">
        <v>374</v>
      </c>
      <c r="J110" s="137">
        <v>45022</v>
      </c>
      <c r="K110" s="136" t="s">
        <v>374</v>
      </c>
      <c r="L110" s="143"/>
      <c r="M110" s="137">
        <v>45058</v>
      </c>
      <c r="N110" s="136" t="s">
        <v>392</v>
      </c>
      <c r="O110" s="138">
        <v>45058.539479166669</v>
      </c>
      <c r="P110" s="139">
        <v>160.6</v>
      </c>
      <c r="Q110" s="136" t="s">
        <v>376</v>
      </c>
      <c r="R110" s="139">
        <v>3.2109999999999999</v>
      </c>
      <c r="S110" s="139">
        <v>1.754</v>
      </c>
      <c r="T110" s="139">
        <v>1.83</v>
      </c>
      <c r="U110" s="139">
        <v>1.39</v>
      </c>
      <c r="V110" s="136"/>
    </row>
    <row r="111" spans="1:22" ht="14" thickBot="1" x14ac:dyDescent="0.4">
      <c r="A111" s="121" t="s">
        <v>21</v>
      </c>
      <c r="B111" s="122" t="s">
        <v>20</v>
      </c>
      <c r="C111" s="129" t="s">
        <v>121</v>
      </c>
      <c r="D111" s="143" t="s">
        <v>581</v>
      </c>
      <c r="E111" s="143" t="s">
        <v>385</v>
      </c>
      <c r="F111" s="146" t="str">
        <f t="shared" si="1"/>
        <v>1086 li</v>
      </c>
      <c r="G111" s="134">
        <v>1086</v>
      </c>
      <c r="H111" s="135">
        <v>13</v>
      </c>
      <c r="I111" s="136" t="s">
        <v>374</v>
      </c>
      <c r="J111" s="137">
        <v>45033</v>
      </c>
      <c r="K111" s="136" t="s">
        <v>374</v>
      </c>
      <c r="L111" s="143"/>
      <c r="M111" s="137">
        <v>45061</v>
      </c>
      <c r="N111" s="136" t="s">
        <v>427</v>
      </c>
      <c r="O111" s="138">
        <v>45061.641747685186</v>
      </c>
      <c r="P111" s="139">
        <v>61.8</v>
      </c>
      <c r="Q111" s="136" t="s">
        <v>376</v>
      </c>
      <c r="R111" s="139">
        <v>1.2370000000000001</v>
      </c>
      <c r="S111" s="139">
        <v>0.76300000000000001</v>
      </c>
      <c r="T111" s="139">
        <v>1.62</v>
      </c>
      <c r="U111" s="139">
        <v>0.72</v>
      </c>
      <c r="V111" s="136"/>
    </row>
    <row r="112" spans="1:22" ht="14" thickBot="1" x14ac:dyDescent="0.4">
      <c r="A112" s="131" t="s">
        <v>25</v>
      </c>
      <c r="B112" s="130" t="s">
        <v>39</v>
      </c>
      <c r="C112" s="129" t="s">
        <v>121</v>
      </c>
      <c r="D112" s="143" t="s">
        <v>592</v>
      </c>
      <c r="E112" s="143" t="s">
        <v>385</v>
      </c>
      <c r="F112" s="146" t="str">
        <f t="shared" si="1"/>
        <v>1096 li</v>
      </c>
      <c r="G112" s="134">
        <v>1096</v>
      </c>
      <c r="H112" s="135">
        <v>11</v>
      </c>
      <c r="I112" s="136" t="s">
        <v>374</v>
      </c>
      <c r="J112" s="137">
        <v>45022</v>
      </c>
      <c r="K112" s="136" t="s">
        <v>374</v>
      </c>
      <c r="L112" s="143"/>
      <c r="M112" s="137">
        <v>45058</v>
      </c>
      <c r="N112" s="136" t="s">
        <v>392</v>
      </c>
      <c r="O112" s="138">
        <v>45058.540335648147</v>
      </c>
      <c r="P112" s="139">
        <v>148.30000000000001</v>
      </c>
      <c r="Q112" s="136" t="s">
        <v>376</v>
      </c>
      <c r="R112" s="139">
        <v>2.9660000000000002</v>
      </c>
      <c r="S112" s="139">
        <v>1.6080000000000001</v>
      </c>
      <c r="T112" s="139">
        <v>1.84</v>
      </c>
      <c r="U112" s="132">
        <v>0.34</v>
      </c>
      <c r="V112" s="136"/>
    </row>
    <row r="113" spans="1:22" ht="14" thickBot="1" x14ac:dyDescent="0.4">
      <c r="A113" s="121" t="s">
        <v>21</v>
      </c>
      <c r="B113" s="122" t="s">
        <v>20</v>
      </c>
      <c r="C113" s="129" t="s">
        <v>121</v>
      </c>
      <c r="D113" s="143" t="s">
        <v>598</v>
      </c>
      <c r="E113" s="143" t="s">
        <v>385</v>
      </c>
      <c r="F113" s="146" t="str">
        <f t="shared" si="1"/>
        <v>1102 li</v>
      </c>
      <c r="G113" s="134">
        <v>1102</v>
      </c>
      <c r="H113" s="135">
        <v>11</v>
      </c>
      <c r="I113" s="136" t="s">
        <v>374</v>
      </c>
      <c r="J113" s="137">
        <v>45035</v>
      </c>
      <c r="K113" s="136" t="s">
        <v>374</v>
      </c>
      <c r="L113" s="143"/>
      <c r="M113" s="137">
        <v>45058</v>
      </c>
      <c r="N113" s="136" t="s">
        <v>392</v>
      </c>
      <c r="O113" s="138">
        <v>45058.541585648149</v>
      </c>
      <c r="P113" s="139">
        <v>106.4</v>
      </c>
      <c r="Q113" s="136" t="s">
        <v>376</v>
      </c>
      <c r="R113" s="139">
        <v>2.1280000000000001</v>
      </c>
      <c r="S113" s="139">
        <v>1.17</v>
      </c>
      <c r="T113" s="139">
        <v>1.82</v>
      </c>
      <c r="U113" s="139">
        <v>1.52</v>
      </c>
      <c r="V113" s="136"/>
    </row>
    <row r="114" spans="1:22" ht="14" thickBot="1" x14ac:dyDescent="0.4">
      <c r="A114" s="121" t="s">
        <v>21</v>
      </c>
      <c r="B114" s="130" t="s">
        <v>39</v>
      </c>
      <c r="C114" s="129" t="s">
        <v>121</v>
      </c>
      <c r="D114" s="143" t="s">
        <v>604</v>
      </c>
      <c r="E114" s="143" t="s">
        <v>385</v>
      </c>
      <c r="F114" s="146" t="str">
        <f t="shared" si="1"/>
        <v>1107 li</v>
      </c>
      <c r="G114" s="134">
        <v>1107</v>
      </c>
      <c r="H114" s="135">
        <v>12</v>
      </c>
      <c r="I114" s="136" t="s">
        <v>374</v>
      </c>
      <c r="J114" s="137">
        <v>45033</v>
      </c>
      <c r="K114" s="136" t="s">
        <v>374</v>
      </c>
      <c r="L114" s="143"/>
      <c r="M114" s="137">
        <v>45063</v>
      </c>
      <c r="N114" s="136" t="s">
        <v>392</v>
      </c>
      <c r="O114" s="138">
        <v>45063.637511574074</v>
      </c>
      <c r="P114" s="139">
        <v>185.2</v>
      </c>
      <c r="Q114" s="136" t="s">
        <v>376</v>
      </c>
      <c r="R114" s="139">
        <v>3.7040000000000002</v>
      </c>
      <c r="S114" s="139">
        <v>2.02</v>
      </c>
      <c r="T114" s="139">
        <v>1.83</v>
      </c>
      <c r="U114" s="139">
        <v>2.02</v>
      </c>
      <c r="V114" s="136"/>
    </row>
    <row r="115" spans="1:22" ht="14" thickBot="1" x14ac:dyDescent="0.4">
      <c r="A115" s="121" t="s">
        <v>21</v>
      </c>
      <c r="B115" s="130" t="s">
        <v>39</v>
      </c>
      <c r="C115" s="129" t="s">
        <v>121</v>
      </c>
      <c r="D115" s="143" t="s">
        <v>608</v>
      </c>
      <c r="E115" s="143" t="s">
        <v>385</v>
      </c>
      <c r="F115" s="146" t="str">
        <f t="shared" si="1"/>
        <v>1108 li</v>
      </c>
      <c r="G115" s="134">
        <v>1108</v>
      </c>
      <c r="H115" s="135">
        <v>13</v>
      </c>
      <c r="I115" s="136" t="s">
        <v>374</v>
      </c>
      <c r="J115" s="137">
        <v>45016</v>
      </c>
      <c r="K115" s="136" t="s">
        <v>374</v>
      </c>
      <c r="L115" s="143"/>
      <c r="M115" s="137">
        <v>45061</v>
      </c>
      <c r="N115" s="136" t="s">
        <v>427</v>
      </c>
      <c r="O115" s="138">
        <v>45061.643275462964</v>
      </c>
      <c r="P115" s="139">
        <v>51</v>
      </c>
      <c r="Q115" s="136" t="s">
        <v>376</v>
      </c>
      <c r="R115" s="139">
        <v>1.02</v>
      </c>
      <c r="S115" s="139">
        <v>0.58599999999999997</v>
      </c>
      <c r="T115" s="139">
        <v>1.74</v>
      </c>
      <c r="U115" s="139">
        <v>0.87</v>
      </c>
      <c r="V115" s="136" t="s">
        <v>609</v>
      </c>
    </row>
    <row r="116" spans="1:22" ht="14" thickBot="1" x14ac:dyDescent="0.4">
      <c r="A116" s="131" t="s">
        <v>25</v>
      </c>
      <c r="B116" s="130" t="s">
        <v>39</v>
      </c>
      <c r="C116" s="129" t="s">
        <v>121</v>
      </c>
      <c r="D116" s="143" t="s">
        <v>613</v>
      </c>
      <c r="E116" s="143" t="s">
        <v>385</v>
      </c>
      <c r="F116" s="146" t="str">
        <f t="shared" si="1"/>
        <v>1114 li</v>
      </c>
      <c r="G116" s="134">
        <v>1114</v>
      </c>
      <c r="H116" s="135">
        <v>12</v>
      </c>
      <c r="I116" s="136" t="s">
        <v>374</v>
      </c>
      <c r="J116" s="137">
        <v>45019</v>
      </c>
      <c r="K116" s="136" t="s">
        <v>374</v>
      </c>
      <c r="L116" s="143"/>
      <c r="M116" s="137">
        <v>45063</v>
      </c>
      <c r="N116" s="136" t="s">
        <v>392</v>
      </c>
      <c r="O116" s="138">
        <v>45063.638356481482</v>
      </c>
      <c r="P116" s="139">
        <v>146.19999999999999</v>
      </c>
      <c r="Q116" s="136" t="s">
        <v>376</v>
      </c>
      <c r="R116" s="139">
        <v>2.923</v>
      </c>
      <c r="S116" s="139">
        <v>1.603</v>
      </c>
      <c r="T116" s="139">
        <v>1.82</v>
      </c>
      <c r="U116" s="139">
        <v>1.49</v>
      </c>
      <c r="V116" s="136"/>
    </row>
    <row r="117" spans="1:22" ht="14" thickBot="1" x14ac:dyDescent="0.4">
      <c r="A117" s="131" t="s">
        <v>25</v>
      </c>
      <c r="B117" s="122" t="s">
        <v>20</v>
      </c>
      <c r="C117" s="129" t="s">
        <v>121</v>
      </c>
      <c r="D117" s="143" t="s">
        <v>617</v>
      </c>
      <c r="E117" s="143" t="s">
        <v>385</v>
      </c>
      <c r="F117" s="146" t="str">
        <f t="shared" si="1"/>
        <v>1118 li</v>
      </c>
      <c r="G117" s="134">
        <v>1118</v>
      </c>
      <c r="H117" s="135">
        <v>11</v>
      </c>
      <c r="I117" s="136" t="s">
        <v>374</v>
      </c>
      <c r="J117" s="137">
        <v>45027</v>
      </c>
      <c r="K117" s="136" t="s">
        <v>374</v>
      </c>
      <c r="L117" s="143"/>
      <c r="M117" s="137">
        <v>45058</v>
      </c>
      <c r="N117" s="136" t="s">
        <v>392</v>
      </c>
      <c r="O117" s="138">
        <v>45058.542349537034</v>
      </c>
      <c r="P117" s="139">
        <v>90.2</v>
      </c>
      <c r="Q117" s="136" t="s">
        <v>376</v>
      </c>
      <c r="R117" s="139">
        <v>1.8029999999999999</v>
      </c>
      <c r="S117" s="139">
        <v>0.996</v>
      </c>
      <c r="T117" s="139">
        <v>1.81</v>
      </c>
      <c r="U117" s="139">
        <v>0.72</v>
      </c>
      <c r="V117" s="136"/>
    </row>
    <row r="118" spans="1:22" ht="14" thickBot="1" x14ac:dyDescent="0.4">
      <c r="A118" s="131" t="s">
        <v>25</v>
      </c>
      <c r="B118" s="130" t="s">
        <v>39</v>
      </c>
      <c r="C118" s="129" t="s">
        <v>121</v>
      </c>
      <c r="D118" s="143" t="s">
        <v>623</v>
      </c>
      <c r="E118" s="143" t="s">
        <v>385</v>
      </c>
      <c r="F118" s="146" t="str">
        <f t="shared" si="1"/>
        <v>1124 li</v>
      </c>
      <c r="G118" s="134">
        <v>1124</v>
      </c>
      <c r="H118" s="135">
        <v>13</v>
      </c>
      <c r="I118" s="136" t="s">
        <v>374</v>
      </c>
      <c r="J118" s="137">
        <v>45019</v>
      </c>
      <c r="K118" s="136" t="s">
        <v>374</v>
      </c>
      <c r="L118" s="143"/>
      <c r="M118" s="137">
        <v>45061</v>
      </c>
      <c r="N118" s="136" t="s">
        <v>427</v>
      </c>
      <c r="O118" s="138">
        <v>45061.644282407404</v>
      </c>
      <c r="P118" s="139">
        <v>74.7</v>
      </c>
      <c r="Q118" s="136" t="s">
        <v>376</v>
      </c>
      <c r="R118" s="139">
        <v>1.494</v>
      </c>
      <c r="S118" s="139">
        <v>0.86199999999999999</v>
      </c>
      <c r="T118" s="139">
        <v>1.73</v>
      </c>
      <c r="U118" s="139">
        <v>1.07</v>
      </c>
      <c r="V118" s="136"/>
    </row>
    <row r="119" spans="1:22" ht="14" thickBot="1" x14ac:dyDescent="0.4">
      <c r="A119" s="131" t="s">
        <v>25</v>
      </c>
      <c r="B119" s="122" t="s">
        <v>20</v>
      </c>
      <c r="C119" s="129" t="s">
        <v>121</v>
      </c>
      <c r="D119" s="143" t="s">
        <v>627</v>
      </c>
      <c r="E119" s="143" t="s">
        <v>385</v>
      </c>
      <c r="F119" s="146" t="str">
        <f t="shared" si="1"/>
        <v>1126 li</v>
      </c>
      <c r="G119" s="134">
        <v>1126</v>
      </c>
      <c r="H119" s="135">
        <v>12</v>
      </c>
      <c r="I119" s="136" t="s">
        <v>374</v>
      </c>
      <c r="J119" s="137">
        <v>45006</v>
      </c>
      <c r="K119" s="136" t="s">
        <v>374</v>
      </c>
      <c r="L119" s="143"/>
      <c r="M119" s="137">
        <v>45063</v>
      </c>
      <c r="N119" s="136" t="s">
        <v>392</v>
      </c>
      <c r="O119" s="138">
        <v>45063.639131944445</v>
      </c>
      <c r="P119" s="139">
        <v>141.9</v>
      </c>
      <c r="Q119" s="136" t="s">
        <v>376</v>
      </c>
      <c r="R119" s="139">
        <v>2.8370000000000002</v>
      </c>
      <c r="S119" s="139">
        <v>1.5609999999999999</v>
      </c>
      <c r="T119" s="139">
        <v>1.82</v>
      </c>
      <c r="U119" s="139">
        <v>1.43</v>
      </c>
      <c r="V119" s="140" t="s">
        <v>628</v>
      </c>
    </row>
    <row r="120" spans="1:22" ht="14" thickBot="1" x14ac:dyDescent="0.4">
      <c r="A120" s="121" t="s">
        <v>21</v>
      </c>
      <c r="B120" s="122" t="s">
        <v>20</v>
      </c>
      <c r="C120" s="129" t="s">
        <v>121</v>
      </c>
      <c r="D120" s="143" t="s">
        <v>635</v>
      </c>
      <c r="E120" s="143" t="s">
        <v>385</v>
      </c>
      <c r="F120" s="146" t="str">
        <f t="shared" si="1"/>
        <v>1134 li</v>
      </c>
      <c r="G120" s="134">
        <v>1134</v>
      </c>
      <c r="H120" s="135">
        <v>10</v>
      </c>
      <c r="I120" s="136" t="s">
        <v>374</v>
      </c>
      <c r="J120" s="137">
        <v>45033</v>
      </c>
      <c r="K120" s="136" t="s">
        <v>374</v>
      </c>
      <c r="L120" s="143"/>
      <c r="M120" s="137">
        <v>45057</v>
      </c>
      <c r="N120" s="136" t="s">
        <v>427</v>
      </c>
      <c r="O120" s="138">
        <v>45057.683587962965</v>
      </c>
      <c r="P120" s="139">
        <v>68.099999999999994</v>
      </c>
      <c r="Q120" s="136" t="s">
        <v>376</v>
      </c>
      <c r="R120" s="139">
        <v>1.3620000000000001</v>
      </c>
      <c r="S120" s="139">
        <v>0.76</v>
      </c>
      <c r="T120" s="139">
        <v>1.79</v>
      </c>
      <c r="U120" s="139">
        <v>0.45</v>
      </c>
      <c r="V120" s="136"/>
    </row>
    <row r="121" spans="1:22" ht="14" thickBot="1" x14ac:dyDescent="0.4">
      <c r="A121" s="131" t="s">
        <v>25</v>
      </c>
      <c r="B121" s="122" t="s">
        <v>20</v>
      </c>
      <c r="C121" s="129" t="s">
        <v>121</v>
      </c>
      <c r="D121" s="143" t="s">
        <v>639</v>
      </c>
      <c r="E121" s="143" t="s">
        <v>385</v>
      </c>
      <c r="F121" s="146" t="str">
        <f t="shared" si="1"/>
        <v>1144 li</v>
      </c>
      <c r="G121" s="134">
        <v>1144</v>
      </c>
      <c r="H121" s="135">
        <v>13</v>
      </c>
      <c r="I121" s="136" t="s">
        <v>374</v>
      </c>
      <c r="J121" s="137">
        <v>45027</v>
      </c>
      <c r="K121" s="136" t="s">
        <v>374</v>
      </c>
      <c r="L121" s="143"/>
      <c r="M121" s="137">
        <v>45061</v>
      </c>
      <c r="N121" s="136" t="s">
        <v>427</v>
      </c>
      <c r="O121" s="138">
        <v>45061.645590277774</v>
      </c>
      <c r="P121" s="132">
        <v>31.2</v>
      </c>
      <c r="Q121" s="136" t="s">
        <v>376</v>
      </c>
      <c r="R121" s="139">
        <v>0.624</v>
      </c>
      <c r="S121" s="139">
        <v>0.375</v>
      </c>
      <c r="T121" s="139">
        <v>1.66</v>
      </c>
      <c r="U121" s="139">
        <v>0.83</v>
      </c>
      <c r="V121" s="136"/>
    </row>
    <row r="122" spans="1:22" ht="14" thickBot="1" x14ac:dyDescent="0.4">
      <c r="A122" s="131" t="s">
        <v>25</v>
      </c>
      <c r="B122" s="122" t="s">
        <v>20</v>
      </c>
      <c r="C122" s="122" t="s">
        <v>19</v>
      </c>
      <c r="D122" s="133" t="s">
        <v>377</v>
      </c>
      <c r="E122" s="133" t="s">
        <v>378</v>
      </c>
      <c r="F122" s="146" t="str">
        <f t="shared" si="1"/>
        <v>20 rh</v>
      </c>
      <c r="G122" s="134">
        <v>20</v>
      </c>
      <c r="H122" s="135">
        <v>1</v>
      </c>
      <c r="I122" s="136" t="s">
        <v>373</v>
      </c>
      <c r="J122" s="136"/>
      <c r="K122" s="136" t="s">
        <v>374</v>
      </c>
      <c r="L122" s="133">
        <v>1</v>
      </c>
      <c r="M122" s="137">
        <v>45006</v>
      </c>
      <c r="N122" s="136" t="s">
        <v>375</v>
      </c>
      <c r="O122" s="138">
        <v>45007.408437500002</v>
      </c>
      <c r="P122" s="139">
        <v>149.1</v>
      </c>
      <c r="Q122" s="136" t="s">
        <v>376</v>
      </c>
      <c r="R122" s="139">
        <v>2.9820000000000002</v>
      </c>
      <c r="S122" s="139">
        <v>1.595</v>
      </c>
      <c r="T122" s="139">
        <v>1.87</v>
      </c>
      <c r="U122" s="139">
        <v>0.85</v>
      </c>
      <c r="V122" s="136"/>
    </row>
    <row r="123" spans="1:22" ht="14" thickBot="1" x14ac:dyDescent="0.4">
      <c r="A123" s="131" t="s">
        <v>25</v>
      </c>
      <c r="B123" s="130" t="s">
        <v>39</v>
      </c>
      <c r="C123" s="122" t="s">
        <v>19</v>
      </c>
      <c r="D123" s="133" t="s">
        <v>393</v>
      </c>
      <c r="E123" s="133" t="s">
        <v>378</v>
      </c>
      <c r="F123" s="146" t="str">
        <f t="shared" si="1"/>
        <v>24 rh</v>
      </c>
      <c r="G123" s="134">
        <v>24</v>
      </c>
      <c r="H123" s="135">
        <v>3</v>
      </c>
      <c r="I123" s="136" t="s">
        <v>373</v>
      </c>
      <c r="J123" s="136"/>
      <c r="K123" s="136" t="s">
        <v>374</v>
      </c>
      <c r="L123" s="133">
        <v>1</v>
      </c>
      <c r="M123" s="137">
        <v>45013</v>
      </c>
      <c r="N123" s="136" t="s">
        <v>392</v>
      </c>
      <c r="O123" s="138">
        <v>45013.622916666667</v>
      </c>
      <c r="P123" s="139">
        <v>269.3</v>
      </c>
      <c r="Q123" s="136" t="s">
        <v>376</v>
      </c>
      <c r="R123" s="139">
        <v>5.3849999999999998</v>
      </c>
      <c r="S123" s="139">
        <v>2.8359999999999999</v>
      </c>
      <c r="T123" s="139">
        <v>1.9</v>
      </c>
      <c r="U123" s="139">
        <v>1.92</v>
      </c>
      <c r="V123" s="136"/>
    </row>
    <row r="124" spans="1:22" ht="14" thickBot="1" x14ac:dyDescent="0.4">
      <c r="A124" s="121" t="s">
        <v>21</v>
      </c>
      <c r="B124" s="130" t="s">
        <v>39</v>
      </c>
      <c r="C124" s="122" t="s">
        <v>19</v>
      </c>
      <c r="D124" s="133" t="s">
        <v>395</v>
      </c>
      <c r="E124" s="133" t="s">
        <v>378</v>
      </c>
      <c r="F124" s="146" t="str">
        <f t="shared" si="1"/>
        <v>26 rh</v>
      </c>
      <c r="G124" s="134">
        <v>26</v>
      </c>
      <c r="H124" s="135">
        <v>2</v>
      </c>
      <c r="I124" s="136" t="s">
        <v>373</v>
      </c>
      <c r="J124" s="136"/>
      <c r="K124" s="136" t="s">
        <v>374</v>
      </c>
      <c r="L124" s="133">
        <v>1</v>
      </c>
      <c r="M124" s="136"/>
      <c r="N124" s="136" t="s">
        <v>386</v>
      </c>
      <c r="O124" s="138">
        <v>45009.812071759261</v>
      </c>
      <c r="P124" s="139">
        <v>215.5</v>
      </c>
      <c r="Q124" s="136" t="s">
        <v>376</v>
      </c>
      <c r="R124" s="139">
        <v>4.3099999999999996</v>
      </c>
      <c r="S124" s="139">
        <v>2.254</v>
      </c>
      <c r="T124" s="139">
        <v>1.91</v>
      </c>
      <c r="U124" s="139">
        <v>0.64</v>
      </c>
      <c r="V124" s="136"/>
    </row>
    <row r="125" spans="1:22" ht="14" thickBot="1" x14ac:dyDescent="0.4">
      <c r="A125" s="121" t="s">
        <v>21</v>
      </c>
      <c r="B125" s="122" t="s">
        <v>20</v>
      </c>
      <c r="C125" s="122" t="s">
        <v>19</v>
      </c>
      <c r="D125" s="133" t="s">
        <v>397</v>
      </c>
      <c r="E125" s="133" t="s">
        <v>378</v>
      </c>
      <c r="F125" s="146" t="str">
        <f t="shared" si="1"/>
        <v>28 rh</v>
      </c>
      <c r="G125" s="134">
        <v>28</v>
      </c>
      <c r="H125" s="135">
        <v>1</v>
      </c>
      <c r="I125" s="136" t="s">
        <v>373</v>
      </c>
      <c r="J125" s="136"/>
      <c r="K125" s="136" t="s">
        <v>374</v>
      </c>
      <c r="L125" s="133">
        <v>1</v>
      </c>
      <c r="M125" s="137">
        <v>45006</v>
      </c>
      <c r="N125" s="136" t="s">
        <v>375</v>
      </c>
      <c r="O125" s="138">
        <v>45007.410034722219</v>
      </c>
      <c r="P125" s="139">
        <v>163.69999999999999</v>
      </c>
      <c r="Q125" s="136" t="s">
        <v>376</v>
      </c>
      <c r="R125" s="139">
        <v>3.2730000000000001</v>
      </c>
      <c r="S125" s="139">
        <v>1.7290000000000001</v>
      </c>
      <c r="T125" s="139">
        <v>1.89</v>
      </c>
      <c r="U125" s="139">
        <v>0.45</v>
      </c>
      <c r="V125" s="136"/>
    </row>
    <row r="126" spans="1:22" ht="14" thickBot="1" x14ac:dyDescent="0.4">
      <c r="A126" s="131" t="s">
        <v>25</v>
      </c>
      <c r="B126" s="130" t="s">
        <v>39</v>
      </c>
      <c r="C126" s="122" t="s">
        <v>19</v>
      </c>
      <c r="D126" s="133" t="s">
        <v>403</v>
      </c>
      <c r="E126" s="133" t="s">
        <v>378</v>
      </c>
      <c r="F126" s="146" t="str">
        <f t="shared" si="1"/>
        <v>34 rh</v>
      </c>
      <c r="G126" s="134">
        <v>34</v>
      </c>
      <c r="H126" s="135">
        <v>1</v>
      </c>
      <c r="I126" s="136" t="s">
        <v>373</v>
      </c>
      <c r="J126" s="136"/>
      <c r="K126" s="136" t="s">
        <v>374</v>
      </c>
      <c r="L126" s="133">
        <v>1</v>
      </c>
      <c r="M126" s="137">
        <v>45006</v>
      </c>
      <c r="N126" s="136" t="s">
        <v>375</v>
      </c>
      <c r="O126" s="138">
        <v>45007.411273148151</v>
      </c>
      <c r="P126" s="139">
        <v>205</v>
      </c>
      <c r="Q126" s="136" t="s">
        <v>376</v>
      </c>
      <c r="R126" s="139">
        <v>4.0999999999999996</v>
      </c>
      <c r="S126" s="139">
        <v>2.1560000000000001</v>
      </c>
      <c r="T126" s="139">
        <v>1.9</v>
      </c>
      <c r="U126" s="139">
        <v>1.34</v>
      </c>
      <c r="V126" s="136"/>
    </row>
    <row r="127" spans="1:22" ht="14" thickBot="1" x14ac:dyDescent="0.4">
      <c r="A127" s="121" t="s">
        <v>21</v>
      </c>
      <c r="B127" s="130" t="s">
        <v>39</v>
      </c>
      <c r="C127" s="122" t="s">
        <v>19</v>
      </c>
      <c r="D127" s="133" t="s">
        <v>409</v>
      </c>
      <c r="E127" s="133" t="s">
        <v>378</v>
      </c>
      <c r="F127" s="146" t="str">
        <f t="shared" si="1"/>
        <v>38 rh</v>
      </c>
      <c r="G127" s="134">
        <v>38</v>
      </c>
      <c r="H127" s="135">
        <v>1</v>
      </c>
      <c r="I127" s="136" t="s">
        <v>373</v>
      </c>
      <c r="J127" s="136"/>
      <c r="K127" s="136" t="s">
        <v>374</v>
      </c>
      <c r="L127" s="133">
        <v>1</v>
      </c>
      <c r="M127" s="137">
        <v>45006</v>
      </c>
      <c r="N127" s="136" t="s">
        <v>375</v>
      </c>
      <c r="O127" s="138">
        <v>45007.412534722222</v>
      </c>
      <c r="P127" s="139">
        <v>239.6</v>
      </c>
      <c r="Q127" s="136" t="s">
        <v>376</v>
      </c>
      <c r="R127" s="139">
        <v>4.7930000000000001</v>
      </c>
      <c r="S127" s="139">
        <v>2.5390000000000001</v>
      </c>
      <c r="T127" s="139">
        <v>1.89</v>
      </c>
      <c r="U127" s="139">
        <v>1.28</v>
      </c>
      <c r="V127" s="136"/>
    </row>
    <row r="128" spans="1:22" ht="14" thickBot="1" x14ac:dyDescent="0.4">
      <c r="A128" s="121" t="s">
        <v>21</v>
      </c>
      <c r="B128" s="122" t="s">
        <v>20</v>
      </c>
      <c r="C128" s="122" t="s">
        <v>19</v>
      </c>
      <c r="D128" s="133" t="s">
        <v>411</v>
      </c>
      <c r="E128" s="133" t="s">
        <v>378</v>
      </c>
      <c r="F128" s="146" t="str">
        <f t="shared" si="1"/>
        <v>40 rh</v>
      </c>
      <c r="G128" s="134">
        <v>40</v>
      </c>
      <c r="H128" s="135">
        <v>1</v>
      </c>
      <c r="I128" s="136" t="s">
        <v>373</v>
      </c>
      <c r="J128" s="136"/>
      <c r="K128" s="136" t="s">
        <v>374</v>
      </c>
      <c r="L128" s="133">
        <v>1</v>
      </c>
      <c r="M128" s="137">
        <v>45006</v>
      </c>
      <c r="N128" s="136" t="s">
        <v>375</v>
      </c>
      <c r="O128" s="138">
        <v>45007.413402777776</v>
      </c>
      <c r="P128" s="139">
        <v>266</v>
      </c>
      <c r="Q128" s="136" t="s">
        <v>376</v>
      </c>
      <c r="R128" s="139">
        <v>5.319</v>
      </c>
      <c r="S128" s="139">
        <v>2.8210000000000002</v>
      </c>
      <c r="T128" s="139">
        <v>1.89</v>
      </c>
      <c r="U128" s="139">
        <v>1.45</v>
      </c>
      <c r="V128" s="136"/>
    </row>
    <row r="129" spans="1:22" ht="14" thickBot="1" x14ac:dyDescent="0.4">
      <c r="A129" s="131" t="s">
        <v>25</v>
      </c>
      <c r="B129" s="122" t="s">
        <v>20</v>
      </c>
      <c r="C129" s="122" t="s">
        <v>19</v>
      </c>
      <c r="D129" s="133" t="s">
        <v>417</v>
      </c>
      <c r="E129" s="133" t="s">
        <v>378</v>
      </c>
      <c r="F129" s="146" t="str">
        <f t="shared" si="1"/>
        <v>56 rh</v>
      </c>
      <c r="G129" s="134">
        <v>56</v>
      </c>
      <c r="H129" s="135">
        <v>3</v>
      </c>
      <c r="I129" s="136" t="s">
        <v>373</v>
      </c>
      <c r="J129" s="136"/>
      <c r="K129" s="136" t="s">
        <v>374</v>
      </c>
      <c r="L129" s="133">
        <v>1</v>
      </c>
      <c r="M129" s="137">
        <v>45013</v>
      </c>
      <c r="N129" s="136" t="s">
        <v>392</v>
      </c>
      <c r="O129" s="138">
        <v>45013.623611111114</v>
      </c>
      <c r="P129" s="139">
        <v>177</v>
      </c>
      <c r="Q129" s="136" t="s">
        <v>376</v>
      </c>
      <c r="R129" s="139">
        <v>3.54</v>
      </c>
      <c r="S129" s="139">
        <v>1.8779999999999999</v>
      </c>
      <c r="T129" s="139">
        <v>1.88</v>
      </c>
      <c r="U129" s="139">
        <v>1.02</v>
      </c>
      <c r="V129" s="136"/>
    </row>
    <row r="130" spans="1:22" ht="14" thickBot="1" x14ac:dyDescent="0.4">
      <c r="A130" s="121" t="s">
        <v>21</v>
      </c>
      <c r="B130" s="130" t="s">
        <v>39</v>
      </c>
      <c r="C130" s="122" t="s">
        <v>19</v>
      </c>
      <c r="D130" s="133" t="s">
        <v>424</v>
      </c>
      <c r="E130" s="133" t="s">
        <v>378</v>
      </c>
      <c r="F130" s="146" t="str">
        <f t="shared" si="1"/>
        <v>62 rh</v>
      </c>
      <c r="G130" s="134">
        <v>62</v>
      </c>
      <c r="H130" s="135">
        <v>3</v>
      </c>
      <c r="I130" s="136" t="s">
        <v>373</v>
      </c>
      <c r="J130" s="136"/>
      <c r="K130" s="136" t="s">
        <v>374</v>
      </c>
      <c r="L130" s="133">
        <v>1</v>
      </c>
      <c r="M130" s="137">
        <v>45013</v>
      </c>
      <c r="N130" s="136" t="s">
        <v>392</v>
      </c>
      <c r="O130" s="138">
        <v>45013.625694444447</v>
      </c>
      <c r="P130" s="139">
        <v>152</v>
      </c>
      <c r="Q130" s="136" t="s">
        <v>376</v>
      </c>
      <c r="R130" s="139">
        <v>3.0390000000000001</v>
      </c>
      <c r="S130" s="139">
        <v>1.6240000000000001</v>
      </c>
      <c r="T130" s="139">
        <v>1.87</v>
      </c>
      <c r="U130" s="139">
        <v>1.06</v>
      </c>
      <c r="V130" s="136"/>
    </row>
    <row r="131" spans="1:22" ht="14" thickBot="1" x14ac:dyDescent="0.4">
      <c r="A131" s="131" t="s">
        <v>25</v>
      </c>
      <c r="B131" s="130" t="s">
        <v>39</v>
      </c>
      <c r="C131" s="122" t="s">
        <v>19</v>
      </c>
      <c r="D131" s="133" t="s">
        <v>431</v>
      </c>
      <c r="E131" s="133" t="s">
        <v>378</v>
      </c>
      <c r="F131" s="146" t="str">
        <f t="shared" ref="F131:F194" si="2">G131&amp;" "&amp;IF(E131="bulk_soil","bk",IF(E131="rhizosphere","rh",IF(E131="root_endo","ri",IF(E131="root_ecto","ro",IF(E131="leaf_ecto","lo",IF(E131="leaf_endo","li","error"))))))</f>
        <v>72 rh</v>
      </c>
      <c r="G131" s="134">
        <v>72</v>
      </c>
      <c r="H131" s="135">
        <v>3</v>
      </c>
      <c r="I131" s="136" t="s">
        <v>373</v>
      </c>
      <c r="J131" s="136"/>
      <c r="K131" s="136" t="s">
        <v>374</v>
      </c>
      <c r="L131" s="133">
        <v>1</v>
      </c>
      <c r="M131" s="137">
        <v>45013</v>
      </c>
      <c r="N131" s="136" t="s">
        <v>392</v>
      </c>
      <c r="O131" s="138">
        <v>45013.626388888886</v>
      </c>
      <c r="P131" s="139">
        <v>228.6</v>
      </c>
      <c r="Q131" s="136" t="s">
        <v>376</v>
      </c>
      <c r="R131" s="139">
        <v>4.5730000000000004</v>
      </c>
      <c r="S131" s="139">
        <v>2.4129999999999998</v>
      </c>
      <c r="T131" s="139">
        <v>1.9</v>
      </c>
      <c r="U131" s="139">
        <v>0.66</v>
      </c>
      <c r="V131" s="136"/>
    </row>
    <row r="132" spans="1:22" ht="14" thickBot="1" x14ac:dyDescent="0.4">
      <c r="A132" s="131" t="s">
        <v>25</v>
      </c>
      <c r="B132" s="122" t="s">
        <v>20</v>
      </c>
      <c r="C132" s="122" t="s">
        <v>19</v>
      </c>
      <c r="D132" s="133" t="s">
        <v>445</v>
      </c>
      <c r="E132" s="133" t="s">
        <v>378</v>
      </c>
      <c r="F132" s="146" t="str">
        <f t="shared" si="2"/>
        <v>84 rh</v>
      </c>
      <c r="G132" s="134">
        <v>84</v>
      </c>
      <c r="H132" s="135">
        <v>4</v>
      </c>
      <c r="I132" s="136" t="s">
        <v>373</v>
      </c>
      <c r="J132" s="136"/>
      <c r="K132" s="136" t="s">
        <v>374</v>
      </c>
      <c r="L132" s="133">
        <v>1</v>
      </c>
      <c r="M132" s="137">
        <v>45014</v>
      </c>
      <c r="N132" s="136" t="s">
        <v>392</v>
      </c>
      <c r="O132" s="138">
        <v>45014.604166666664</v>
      </c>
      <c r="P132" s="139">
        <v>235.1</v>
      </c>
      <c r="Q132" s="136" t="s">
        <v>376</v>
      </c>
      <c r="R132" s="139">
        <v>4.7030000000000003</v>
      </c>
      <c r="S132" s="139">
        <v>2.4740000000000002</v>
      </c>
      <c r="T132" s="139">
        <v>1.9</v>
      </c>
      <c r="U132" s="139">
        <v>0.5</v>
      </c>
      <c r="V132" s="136"/>
    </row>
    <row r="133" spans="1:22" ht="14" thickBot="1" x14ac:dyDescent="0.4">
      <c r="A133" s="121" t="s">
        <v>21</v>
      </c>
      <c r="B133" s="130" t="s">
        <v>39</v>
      </c>
      <c r="C133" s="122" t="s">
        <v>19</v>
      </c>
      <c r="D133" s="133" t="s">
        <v>455</v>
      </c>
      <c r="E133" s="133" t="s">
        <v>378</v>
      </c>
      <c r="F133" s="146" t="str">
        <f t="shared" si="2"/>
        <v>92 rh</v>
      </c>
      <c r="G133" s="134">
        <v>92</v>
      </c>
      <c r="H133" s="135">
        <v>4</v>
      </c>
      <c r="I133" s="136" t="s">
        <v>373</v>
      </c>
      <c r="J133" s="136"/>
      <c r="K133" s="136" t="s">
        <v>374</v>
      </c>
      <c r="L133" s="133">
        <v>1</v>
      </c>
      <c r="M133" s="137">
        <v>45014</v>
      </c>
      <c r="N133" s="136" t="s">
        <v>392</v>
      </c>
      <c r="O133" s="138">
        <v>45014.606249999997</v>
      </c>
      <c r="P133" s="139">
        <v>164.2</v>
      </c>
      <c r="Q133" s="136" t="s">
        <v>376</v>
      </c>
      <c r="R133" s="139">
        <v>3.2839999999999998</v>
      </c>
      <c r="S133" s="139">
        <v>1.76</v>
      </c>
      <c r="T133" s="139">
        <v>1.87</v>
      </c>
      <c r="U133" s="139">
        <v>1.4</v>
      </c>
      <c r="V133" s="136"/>
    </row>
    <row r="134" spans="1:22" ht="14" thickBot="1" x14ac:dyDescent="0.4">
      <c r="A134" s="131" t="s">
        <v>25</v>
      </c>
      <c r="B134" s="130" t="s">
        <v>39</v>
      </c>
      <c r="C134" s="122" t="s">
        <v>19</v>
      </c>
      <c r="D134" s="133" t="s">
        <v>461</v>
      </c>
      <c r="E134" s="133" t="s">
        <v>378</v>
      </c>
      <c r="F134" s="146" t="str">
        <f t="shared" si="2"/>
        <v>100 rh</v>
      </c>
      <c r="G134" s="134">
        <v>100</v>
      </c>
      <c r="H134" s="135">
        <v>5</v>
      </c>
      <c r="I134" s="136" t="s">
        <v>373</v>
      </c>
      <c r="J134" s="136"/>
      <c r="K134" s="136" t="s">
        <v>374</v>
      </c>
      <c r="L134" s="133">
        <v>2</v>
      </c>
      <c r="M134" s="137">
        <v>45019</v>
      </c>
      <c r="N134" s="136" t="s">
        <v>392</v>
      </c>
      <c r="O134" s="138">
        <v>45019.61246527778</v>
      </c>
      <c r="P134" s="139">
        <v>148.4</v>
      </c>
      <c r="Q134" s="136" t="s">
        <v>376</v>
      </c>
      <c r="R134" s="139">
        <v>2.968</v>
      </c>
      <c r="S134" s="139">
        <v>1.58</v>
      </c>
      <c r="T134" s="139">
        <v>1.88</v>
      </c>
      <c r="U134" s="139">
        <v>0.78</v>
      </c>
      <c r="V134" s="136"/>
    </row>
    <row r="135" spans="1:22" ht="14" thickBot="1" x14ac:dyDescent="0.4">
      <c r="A135" s="131" t="s">
        <v>25</v>
      </c>
      <c r="B135" s="130" t="s">
        <v>39</v>
      </c>
      <c r="C135" s="122" t="s">
        <v>19</v>
      </c>
      <c r="D135" s="133" t="s">
        <v>468</v>
      </c>
      <c r="E135" s="133" t="s">
        <v>378</v>
      </c>
      <c r="F135" s="146" t="str">
        <f t="shared" si="2"/>
        <v>104 rh</v>
      </c>
      <c r="G135" s="134">
        <v>104</v>
      </c>
      <c r="H135" s="135">
        <v>6</v>
      </c>
      <c r="I135" s="136" t="s">
        <v>373</v>
      </c>
      <c r="J135" s="136"/>
      <c r="K135" s="136" t="s">
        <v>374</v>
      </c>
      <c r="L135" s="133">
        <v>2</v>
      </c>
      <c r="M135" s="137">
        <v>45034</v>
      </c>
      <c r="N135" s="136" t="s">
        <v>386</v>
      </c>
      <c r="O135" s="138">
        <v>45034.81690972222</v>
      </c>
      <c r="P135" s="139">
        <v>174.8</v>
      </c>
      <c r="Q135" s="136" t="s">
        <v>376</v>
      </c>
      <c r="R135" s="139">
        <v>3.4969999999999999</v>
      </c>
      <c r="S135" s="139">
        <v>1.8620000000000001</v>
      </c>
      <c r="T135" s="139">
        <v>1.88</v>
      </c>
      <c r="U135" s="139">
        <v>1.1599999999999999</v>
      </c>
      <c r="V135" s="136"/>
    </row>
    <row r="136" spans="1:22" ht="14" thickBot="1" x14ac:dyDescent="0.4">
      <c r="A136" s="121" t="s">
        <v>21</v>
      </c>
      <c r="B136" s="130" t="s">
        <v>39</v>
      </c>
      <c r="C136" s="122" t="s">
        <v>19</v>
      </c>
      <c r="D136" s="133" t="s">
        <v>470</v>
      </c>
      <c r="E136" s="133" t="s">
        <v>378</v>
      </c>
      <c r="F136" s="146" t="str">
        <f t="shared" si="2"/>
        <v>106 rh</v>
      </c>
      <c r="G136" s="134">
        <v>106</v>
      </c>
      <c r="H136" s="135">
        <v>6</v>
      </c>
      <c r="I136" s="136" t="s">
        <v>373</v>
      </c>
      <c r="J136" s="136"/>
      <c r="K136" s="136" t="s">
        <v>374</v>
      </c>
      <c r="L136" s="133">
        <v>2</v>
      </c>
      <c r="M136" s="137">
        <v>45034</v>
      </c>
      <c r="N136" s="136" t="s">
        <v>386</v>
      </c>
      <c r="O136" s="138">
        <v>45034.817986111113</v>
      </c>
      <c r="P136" s="139">
        <v>160.1</v>
      </c>
      <c r="Q136" s="136" t="s">
        <v>376</v>
      </c>
      <c r="R136" s="139">
        <v>3.2010000000000001</v>
      </c>
      <c r="S136" s="139">
        <v>1.6850000000000001</v>
      </c>
      <c r="T136" s="139">
        <v>1.9</v>
      </c>
      <c r="U136" s="139">
        <v>1.84</v>
      </c>
      <c r="V136" s="136"/>
    </row>
    <row r="137" spans="1:22" ht="14" thickBot="1" x14ac:dyDescent="0.4">
      <c r="A137" s="131" t="s">
        <v>25</v>
      </c>
      <c r="B137" s="122" t="s">
        <v>20</v>
      </c>
      <c r="C137" s="122" t="s">
        <v>19</v>
      </c>
      <c r="D137" s="133" t="s">
        <v>476</v>
      </c>
      <c r="E137" s="133" t="s">
        <v>378</v>
      </c>
      <c r="F137" s="146" t="str">
        <f t="shared" si="2"/>
        <v>112 rh</v>
      </c>
      <c r="G137" s="134">
        <v>112</v>
      </c>
      <c r="H137" s="135">
        <v>8</v>
      </c>
      <c r="I137" s="136" t="s">
        <v>373</v>
      </c>
      <c r="J137" s="136"/>
      <c r="K137" s="136" t="s">
        <v>374</v>
      </c>
      <c r="L137" s="133">
        <v>2</v>
      </c>
      <c r="M137" s="137">
        <v>45078</v>
      </c>
      <c r="N137" s="136" t="s">
        <v>420</v>
      </c>
      <c r="O137" s="138">
        <v>45079.471446759257</v>
      </c>
      <c r="P137" s="139">
        <v>161.80000000000001</v>
      </c>
      <c r="Q137" s="136" t="s">
        <v>376</v>
      </c>
      <c r="R137" s="139">
        <v>3.2349999999999999</v>
      </c>
      <c r="S137" s="139">
        <v>1.7450000000000001</v>
      </c>
      <c r="T137" s="139">
        <v>1.85</v>
      </c>
      <c r="U137" s="139">
        <v>1.84</v>
      </c>
      <c r="V137" s="136"/>
    </row>
    <row r="138" spans="1:22" ht="14" thickBot="1" x14ac:dyDescent="0.4">
      <c r="A138" s="121" t="s">
        <v>21</v>
      </c>
      <c r="B138" s="122" t="s">
        <v>20</v>
      </c>
      <c r="C138" s="122" t="s">
        <v>19</v>
      </c>
      <c r="D138" s="133" t="s">
        <v>495</v>
      </c>
      <c r="E138" s="133" t="s">
        <v>378</v>
      </c>
      <c r="F138" s="146" t="str">
        <f t="shared" si="2"/>
        <v>128 rh</v>
      </c>
      <c r="G138" s="134">
        <v>128</v>
      </c>
      <c r="H138" s="135">
        <v>8</v>
      </c>
      <c r="I138" s="136" t="s">
        <v>373</v>
      </c>
      <c r="J138" s="136"/>
      <c r="K138" s="136" t="s">
        <v>374</v>
      </c>
      <c r="L138" s="133">
        <v>2</v>
      </c>
      <c r="M138" s="137">
        <v>45078</v>
      </c>
      <c r="N138" s="136" t="s">
        <v>420</v>
      </c>
      <c r="O138" s="138">
        <v>45079.467511574076</v>
      </c>
      <c r="P138" s="139">
        <v>165.4</v>
      </c>
      <c r="Q138" s="136" t="s">
        <v>376</v>
      </c>
      <c r="R138" s="139">
        <v>3.3090000000000002</v>
      </c>
      <c r="S138" s="139">
        <v>1.786</v>
      </c>
      <c r="T138" s="139">
        <v>1.85</v>
      </c>
      <c r="U138" s="139">
        <v>0.5</v>
      </c>
      <c r="V138" s="136"/>
    </row>
    <row r="139" spans="1:22" ht="14" thickBot="1" x14ac:dyDescent="0.4">
      <c r="A139" s="131" t="s">
        <v>25</v>
      </c>
      <c r="B139" s="122" t="s">
        <v>20</v>
      </c>
      <c r="C139" s="122" t="s">
        <v>19</v>
      </c>
      <c r="D139" s="133" t="s">
        <v>503</v>
      </c>
      <c r="E139" s="133" t="s">
        <v>378</v>
      </c>
      <c r="F139" s="146" t="str">
        <f t="shared" si="2"/>
        <v>132 rh</v>
      </c>
      <c r="G139" s="134">
        <v>132</v>
      </c>
      <c r="H139" s="135">
        <v>7</v>
      </c>
      <c r="I139" s="136" t="s">
        <v>373</v>
      </c>
      <c r="J139" s="136"/>
      <c r="K139" s="136" t="s">
        <v>374</v>
      </c>
      <c r="L139" s="133">
        <v>2</v>
      </c>
      <c r="M139" s="137">
        <v>45036</v>
      </c>
      <c r="N139" s="136" t="s">
        <v>386</v>
      </c>
      <c r="O139" s="138">
        <v>45036.824305555558</v>
      </c>
      <c r="P139" s="139">
        <v>210.6</v>
      </c>
      <c r="Q139" s="136" t="s">
        <v>376</v>
      </c>
      <c r="R139" s="139">
        <v>4.2110000000000003</v>
      </c>
      <c r="S139" s="139">
        <v>2.258</v>
      </c>
      <c r="T139" s="139">
        <v>1.86</v>
      </c>
      <c r="U139" s="139">
        <v>1.66</v>
      </c>
      <c r="V139" s="136"/>
    </row>
    <row r="140" spans="1:22" ht="14" thickBot="1" x14ac:dyDescent="0.4">
      <c r="A140" s="121" t="s">
        <v>21</v>
      </c>
      <c r="B140" s="122" t="s">
        <v>20</v>
      </c>
      <c r="C140" s="122" t="s">
        <v>19</v>
      </c>
      <c r="D140" s="133" t="s">
        <v>505</v>
      </c>
      <c r="E140" s="133" t="s">
        <v>378</v>
      </c>
      <c r="F140" s="146" t="str">
        <f t="shared" si="2"/>
        <v>133 rh</v>
      </c>
      <c r="G140" s="134">
        <v>133</v>
      </c>
      <c r="H140" s="135">
        <v>8</v>
      </c>
      <c r="I140" s="136" t="s">
        <v>373</v>
      </c>
      <c r="J140" s="136"/>
      <c r="K140" s="136" t="s">
        <v>374</v>
      </c>
      <c r="L140" s="133">
        <v>2</v>
      </c>
      <c r="M140" s="137">
        <v>45078</v>
      </c>
      <c r="N140" s="136" t="s">
        <v>420</v>
      </c>
      <c r="O140" s="138">
        <v>45079.472291666665</v>
      </c>
      <c r="P140" s="139">
        <v>184.1</v>
      </c>
      <c r="Q140" s="136" t="s">
        <v>376</v>
      </c>
      <c r="R140" s="139">
        <v>3.6829999999999998</v>
      </c>
      <c r="S140" s="139">
        <v>1.99</v>
      </c>
      <c r="T140" s="139">
        <v>1.85</v>
      </c>
      <c r="U140" s="139">
        <v>1.54</v>
      </c>
      <c r="V140" s="136"/>
    </row>
    <row r="141" spans="1:22" ht="14" thickBot="1" x14ac:dyDescent="0.4">
      <c r="A141" s="121" t="s">
        <v>21</v>
      </c>
      <c r="B141" s="122" t="s">
        <v>20</v>
      </c>
      <c r="C141" s="122" t="s">
        <v>19</v>
      </c>
      <c r="D141" s="133" t="s">
        <v>507</v>
      </c>
      <c r="E141" s="133" t="s">
        <v>378</v>
      </c>
      <c r="F141" s="146" t="str">
        <f t="shared" si="2"/>
        <v>140 rh</v>
      </c>
      <c r="G141" s="134">
        <v>140</v>
      </c>
      <c r="H141" s="135">
        <v>7</v>
      </c>
      <c r="I141" s="136" t="s">
        <v>373</v>
      </c>
      <c r="J141" s="136"/>
      <c r="K141" s="136" t="s">
        <v>374</v>
      </c>
      <c r="L141" s="133">
        <v>2</v>
      </c>
      <c r="M141" s="137">
        <v>45036</v>
      </c>
      <c r="N141" s="136" t="s">
        <v>386</v>
      </c>
      <c r="O141" s="138">
        <v>45036.826273148145</v>
      </c>
      <c r="P141" s="139">
        <v>217.5</v>
      </c>
      <c r="Q141" s="136" t="s">
        <v>376</v>
      </c>
      <c r="R141" s="139">
        <v>4.3490000000000002</v>
      </c>
      <c r="S141" s="139">
        <v>2.3140000000000001</v>
      </c>
      <c r="T141" s="139">
        <v>1.88</v>
      </c>
      <c r="U141" s="139">
        <v>1.87</v>
      </c>
      <c r="V141" s="136"/>
    </row>
    <row r="142" spans="1:22" ht="14" thickBot="1" x14ac:dyDescent="0.4">
      <c r="A142" s="121" t="s">
        <v>21</v>
      </c>
      <c r="B142" s="122" t="s">
        <v>20</v>
      </c>
      <c r="C142" s="129" t="s">
        <v>121</v>
      </c>
      <c r="D142" s="133" t="s">
        <v>522</v>
      </c>
      <c r="E142" s="133" t="s">
        <v>378</v>
      </c>
      <c r="F142" s="146" t="str">
        <f t="shared" si="2"/>
        <v>1018 rh</v>
      </c>
      <c r="G142" s="134">
        <v>1018</v>
      </c>
      <c r="H142" s="135">
        <v>1</v>
      </c>
      <c r="I142" s="136" t="s">
        <v>373</v>
      </c>
      <c r="J142" s="136"/>
      <c r="K142" s="136" t="s">
        <v>374</v>
      </c>
      <c r="L142" s="133">
        <v>1</v>
      </c>
      <c r="M142" s="137">
        <v>45006</v>
      </c>
      <c r="N142" s="136" t="s">
        <v>375</v>
      </c>
      <c r="O142" s="138">
        <v>45007.41815972222</v>
      </c>
      <c r="P142" s="139">
        <v>155.5</v>
      </c>
      <c r="Q142" s="136" t="s">
        <v>376</v>
      </c>
      <c r="R142" s="139">
        <v>3.109</v>
      </c>
      <c r="S142" s="139">
        <v>1.6379999999999999</v>
      </c>
      <c r="T142" s="139">
        <v>1.9</v>
      </c>
      <c r="U142" s="132">
        <v>0.37</v>
      </c>
      <c r="V142" s="136"/>
    </row>
    <row r="143" spans="1:22" ht="14" thickBot="1" x14ac:dyDescent="0.4">
      <c r="A143" s="131" t="s">
        <v>25</v>
      </c>
      <c r="B143" s="122" t="s">
        <v>20</v>
      </c>
      <c r="C143" s="129" t="s">
        <v>121</v>
      </c>
      <c r="D143" s="133" t="s">
        <v>524</v>
      </c>
      <c r="E143" s="133" t="s">
        <v>378</v>
      </c>
      <c r="F143" s="146" t="str">
        <f t="shared" si="2"/>
        <v>1020 rh</v>
      </c>
      <c r="G143" s="134">
        <v>1020</v>
      </c>
      <c r="H143" s="135">
        <v>2</v>
      </c>
      <c r="I143" s="136" t="s">
        <v>373</v>
      </c>
      <c r="J143" s="136"/>
      <c r="K143" s="136" t="s">
        <v>374</v>
      </c>
      <c r="L143" s="133">
        <v>1</v>
      </c>
      <c r="M143" s="137">
        <v>45008</v>
      </c>
      <c r="N143" s="136" t="s">
        <v>386</v>
      </c>
      <c r="O143" s="138">
        <v>45009.817106481481</v>
      </c>
      <c r="P143" s="139">
        <v>264.5</v>
      </c>
      <c r="Q143" s="136" t="s">
        <v>376</v>
      </c>
      <c r="R143" s="139">
        <v>5.2889999999999997</v>
      </c>
      <c r="S143" s="139">
        <v>2.7669999999999999</v>
      </c>
      <c r="T143" s="139">
        <v>1.91</v>
      </c>
      <c r="U143" s="139">
        <v>0.92</v>
      </c>
      <c r="V143" s="136"/>
    </row>
    <row r="144" spans="1:22" ht="14" thickBot="1" x14ac:dyDescent="0.4">
      <c r="A144" s="131" t="s">
        <v>25</v>
      </c>
      <c r="B144" s="130" t="s">
        <v>39</v>
      </c>
      <c r="C144" s="129" t="s">
        <v>121</v>
      </c>
      <c r="D144" s="133" t="s">
        <v>530</v>
      </c>
      <c r="E144" s="133" t="s">
        <v>378</v>
      </c>
      <c r="F144" s="146" t="str">
        <f t="shared" si="2"/>
        <v>1024 rh</v>
      </c>
      <c r="G144" s="134">
        <v>1024</v>
      </c>
      <c r="H144" s="135">
        <v>1</v>
      </c>
      <c r="I144" s="136" t="s">
        <v>373</v>
      </c>
      <c r="J144" s="136"/>
      <c r="K144" s="136" t="s">
        <v>374</v>
      </c>
      <c r="L144" s="133">
        <v>1</v>
      </c>
      <c r="M144" s="137">
        <v>45006</v>
      </c>
      <c r="N144" s="136" t="s">
        <v>375</v>
      </c>
      <c r="O144" s="138">
        <v>45007.419432870367</v>
      </c>
      <c r="P144" s="139">
        <v>159.5</v>
      </c>
      <c r="Q144" s="136" t="s">
        <v>376</v>
      </c>
      <c r="R144" s="139">
        <v>3.19</v>
      </c>
      <c r="S144" s="139">
        <v>1.6639999999999999</v>
      </c>
      <c r="T144" s="139">
        <v>1.92</v>
      </c>
      <c r="U144" s="139">
        <v>0.98</v>
      </c>
      <c r="V144" s="136"/>
    </row>
    <row r="145" spans="1:22" ht="14" thickBot="1" x14ac:dyDescent="0.4">
      <c r="A145" s="121" t="s">
        <v>21</v>
      </c>
      <c r="B145" s="130" t="s">
        <v>39</v>
      </c>
      <c r="C145" s="129" t="s">
        <v>121</v>
      </c>
      <c r="D145" s="133" t="s">
        <v>532</v>
      </c>
      <c r="E145" s="133" t="s">
        <v>378</v>
      </c>
      <c r="F145" s="146" t="str">
        <f t="shared" si="2"/>
        <v>1026 rh</v>
      </c>
      <c r="G145" s="134">
        <v>1026</v>
      </c>
      <c r="H145" s="135">
        <v>1</v>
      </c>
      <c r="I145" s="136" t="s">
        <v>373</v>
      </c>
      <c r="J145" s="136"/>
      <c r="K145" s="136" t="s">
        <v>374</v>
      </c>
      <c r="L145" s="133">
        <v>1</v>
      </c>
      <c r="M145" s="137">
        <v>45006</v>
      </c>
      <c r="N145" s="136" t="s">
        <v>375</v>
      </c>
      <c r="O145" s="138">
        <v>45007.420381944445</v>
      </c>
      <c r="P145" s="139">
        <v>173.4</v>
      </c>
      <c r="Q145" s="136" t="s">
        <v>376</v>
      </c>
      <c r="R145" s="139">
        <v>3.468</v>
      </c>
      <c r="S145" s="139">
        <v>1.8169999999999999</v>
      </c>
      <c r="T145" s="139">
        <v>1.91</v>
      </c>
      <c r="U145" s="132">
        <v>0.35</v>
      </c>
      <c r="V145" s="136"/>
    </row>
    <row r="146" spans="1:22" ht="14" thickBot="1" x14ac:dyDescent="0.4">
      <c r="A146" s="121" t="s">
        <v>21</v>
      </c>
      <c r="B146" s="122" t="s">
        <v>20</v>
      </c>
      <c r="C146" s="129" t="s">
        <v>121</v>
      </c>
      <c r="D146" s="133" t="s">
        <v>534</v>
      </c>
      <c r="E146" s="133" t="s">
        <v>378</v>
      </c>
      <c r="F146" s="146" t="str">
        <f t="shared" si="2"/>
        <v>1028 rh</v>
      </c>
      <c r="G146" s="134">
        <v>1028</v>
      </c>
      <c r="H146" s="135">
        <v>1</v>
      </c>
      <c r="I146" s="136" t="s">
        <v>373</v>
      </c>
      <c r="J146" s="136"/>
      <c r="K146" s="136" t="s">
        <v>374</v>
      </c>
      <c r="L146" s="133">
        <v>1</v>
      </c>
      <c r="M146" s="137">
        <v>45006</v>
      </c>
      <c r="N146" s="136" t="s">
        <v>375</v>
      </c>
      <c r="O146" s="138">
        <v>45007.421840277777</v>
      </c>
      <c r="P146" s="139">
        <v>187.2</v>
      </c>
      <c r="Q146" s="136" t="s">
        <v>376</v>
      </c>
      <c r="R146" s="139">
        <v>3.7429999999999999</v>
      </c>
      <c r="S146" s="139">
        <v>1.9650000000000001</v>
      </c>
      <c r="T146" s="139">
        <v>1.91</v>
      </c>
      <c r="U146" s="139">
        <v>1.84</v>
      </c>
      <c r="V146" s="136"/>
    </row>
    <row r="147" spans="1:22" ht="14" thickBot="1" x14ac:dyDescent="0.4">
      <c r="A147" s="131" t="s">
        <v>25</v>
      </c>
      <c r="B147" s="122" t="s">
        <v>20</v>
      </c>
      <c r="C147" s="129" t="s">
        <v>121</v>
      </c>
      <c r="D147" s="133" t="s">
        <v>536</v>
      </c>
      <c r="E147" s="133" t="s">
        <v>378</v>
      </c>
      <c r="F147" s="146" t="str">
        <f t="shared" si="2"/>
        <v>1030 rh</v>
      </c>
      <c r="G147" s="134">
        <v>1030</v>
      </c>
      <c r="H147" s="135">
        <v>1</v>
      </c>
      <c r="I147" s="136" t="s">
        <v>373</v>
      </c>
      <c r="J147" s="136"/>
      <c r="K147" s="136" t="s">
        <v>374</v>
      </c>
      <c r="L147" s="133">
        <v>1</v>
      </c>
      <c r="M147" s="137">
        <v>45006</v>
      </c>
      <c r="N147" s="136" t="s">
        <v>375</v>
      </c>
      <c r="O147" s="138">
        <v>45007.42291666667</v>
      </c>
      <c r="P147" s="139">
        <v>106.1</v>
      </c>
      <c r="Q147" s="136" t="s">
        <v>376</v>
      </c>
      <c r="R147" s="139">
        <v>2.1230000000000002</v>
      </c>
      <c r="S147" s="139">
        <v>1.121</v>
      </c>
      <c r="T147" s="139">
        <v>1.89</v>
      </c>
      <c r="U147" s="139">
        <v>0.55000000000000004</v>
      </c>
      <c r="V147" s="136"/>
    </row>
    <row r="148" spans="1:22" ht="14" thickBot="1" x14ac:dyDescent="0.4">
      <c r="A148" s="131" t="s">
        <v>25</v>
      </c>
      <c r="B148" s="130" t="s">
        <v>39</v>
      </c>
      <c r="C148" s="129" t="s">
        <v>121</v>
      </c>
      <c r="D148" s="133" t="s">
        <v>542</v>
      </c>
      <c r="E148" s="133" t="s">
        <v>378</v>
      </c>
      <c r="F148" s="146" t="str">
        <f t="shared" si="2"/>
        <v>1034 rh</v>
      </c>
      <c r="G148" s="134">
        <v>1034</v>
      </c>
      <c r="H148" s="135">
        <v>1</v>
      </c>
      <c r="I148" s="136" t="s">
        <v>373</v>
      </c>
      <c r="J148" s="136"/>
      <c r="K148" s="136" t="s">
        <v>374</v>
      </c>
      <c r="L148" s="133">
        <v>1</v>
      </c>
      <c r="M148" s="137">
        <v>45006</v>
      </c>
      <c r="N148" s="136" t="s">
        <v>375</v>
      </c>
      <c r="O148" s="138">
        <v>45007.424155092594</v>
      </c>
      <c r="P148" s="139">
        <v>128.9</v>
      </c>
      <c r="Q148" s="136" t="s">
        <v>376</v>
      </c>
      <c r="R148" s="139">
        <v>2.5790000000000002</v>
      </c>
      <c r="S148" s="139">
        <v>1.347</v>
      </c>
      <c r="T148" s="139">
        <v>1.91</v>
      </c>
      <c r="U148" s="139">
        <v>1.96</v>
      </c>
      <c r="V148" s="136"/>
    </row>
    <row r="149" spans="1:22" ht="14" thickBot="1" x14ac:dyDescent="0.4">
      <c r="A149" s="121" t="s">
        <v>21</v>
      </c>
      <c r="B149" s="122" t="s">
        <v>20</v>
      </c>
      <c r="C149" s="129" t="s">
        <v>121</v>
      </c>
      <c r="D149" s="133" t="s">
        <v>544</v>
      </c>
      <c r="E149" s="133" t="s">
        <v>378</v>
      </c>
      <c r="F149" s="146" t="str">
        <f t="shared" si="2"/>
        <v>1040 rh</v>
      </c>
      <c r="G149" s="134">
        <v>1040</v>
      </c>
      <c r="H149" s="135">
        <v>1</v>
      </c>
      <c r="I149" s="136" t="s">
        <v>373</v>
      </c>
      <c r="J149" s="136"/>
      <c r="K149" s="136" t="s">
        <v>374</v>
      </c>
      <c r="L149" s="133">
        <v>1</v>
      </c>
      <c r="M149" s="137">
        <v>45006</v>
      </c>
      <c r="N149" s="136" t="s">
        <v>375</v>
      </c>
      <c r="O149" s="138">
        <v>45007.425266203703</v>
      </c>
      <c r="P149" s="139">
        <v>205.2</v>
      </c>
      <c r="Q149" s="136" t="s">
        <v>376</v>
      </c>
      <c r="R149" s="139">
        <v>4.1040000000000001</v>
      </c>
      <c r="S149" s="139">
        <v>2.1549999999999998</v>
      </c>
      <c r="T149" s="139">
        <v>1.9</v>
      </c>
      <c r="U149" s="139">
        <v>0.7</v>
      </c>
      <c r="V149" s="136"/>
    </row>
    <row r="150" spans="1:22" ht="14" thickBot="1" x14ac:dyDescent="0.4">
      <c r="A150" s="131" t="s">
        <v>25</v>
      </c>
      <c r="B150" s="130" t="s">
        <v>39</v>
      </c>
      <c r="C150" s="129" t="s">
        <v>121</v>
      </c>
      <c r="D150" s="133" t="s">
        <v>551</v>
      </c>
      <c r="E150" s="133" t="s">
        <v>378</v>
      </c>
      <c r="F150" s="146" t="str">
        <f t="shared" si="2"/>
        <v>1048 rh</v>
      </c>
      <c r="G150" s="134">
        <v>1048</v>
      </c>
      <c r="H150" s="135">
        <v>2</v>
      </c>
      <c r="I150" s="136" t="s">
        <v>373</v>
      </c>
      <c r="J150" s="136"/>
      <c r="K150" s="136" t="s">
        <v>374</v>
      </c>
      <c r="L150" s="133">
        <v>1</v>
      </c>
      <c r="M150" s="137">
        <v>45008</v>
      </c>
      <c r="N150" s="136" t="s">
        <v>386</v>
      </c>
      <c r="O150" s="138">
        <v>45009.818692129629</v>
      </c>
      <c r="P150" s="139">
        <v>141.69999999999999</v>
      </c>
      <c r="Q150" s="136" t="s">
        <v>376</v>
      </c>
      <c r="R150" s="139">
        <v>2.835</v>
      </c>
      <c r="S150" s="139">
        <v>1.4790000000000001</v>
      </c>
      <c r="T150" s="139">
        <v>1.92</v>
      </c>
      <c r="U150" s="139">
        <v>0.68</v>
      </c>
      <c r="V150" s="136"/>
    </row>
    <row r="151" spans="1:22" ht="14" thickBot="1" x14ac:dyDescent="0.4">
      <c r="A151" s="131" t="s">
        <v>25</v>
      </c>
      <c r="B151" s="122" t="s">
        <v>20</v>
      </c>
      <c r="C151" s="129" t="s">
        <v>121</v>
      </c>
      <c r="D151" s="133" t="s">
        <v>553</v>
      </c>
      <c r="E151" s="133" t="s">
        <v>378</v>
      </c>
      <c r="F151" s="146" t="str">
        <f t="shared" si="2"/>
        <v>1056 rh</v>
      </c>
      <c r="G151" s="134">
        <v>1056</v>
      </c>
      <c r="H151" s="135">
        <v>3</v>
      </c>
      <c r="I151" s="136" t="s">
        <v>373</v>
      </c>
      <c r="J151" s="136"/>
      <c r="K151" s="136" t="s">
        <v>374</v>
      </c>
      <c r="L151" s="133">
        <v>1</v>
      </c>
      <c r="M151" s="137">
        <v>45013</v>
      </c>
      <c r="N151" s="136" t="s">
        <v>392</v>
      </c>
      <c r="O151" s="138">
        <v>45013.627083333333</v>
      </c>
      <c r="P151" s="139">
        <v>234.3</v>
      </c>
      <c r="Q151" s="136" t="s">
        <v>376</v>
      </c>
      <c r="R151" s="139">
        <v>4.6870000000000003</v>
      </c>
      <c r="S151" s="139">
        <v>2.4780000000000002</v>
      </c>
      <c r="T151" s="139">
        <v>1.89</v>
      </c>
      <c r="U151" s="139">
        <v>0.67</v>
      </c>
      <c r="V151" s="136"/>
    </row>
    <row r="152" spans="1:22" ht="14" thickBot="1" x14ac:dyDescent="0.4">
      <c r="A152" s="131" t="s">
        <v>25</v>
      </c>
      <c r="B152" s="130" t="s">
        <v>39</v>
      </c>
      <c r="C152" s="129" t="s">
        <v>121</v>
      </c>
      <c r="D152" s="133" t="s">
        <v>571</v>
      </c>
      <c r="E152" s="133" t="s">
        <v>378</v>
      </c>
      <c r="F152" s="146" t="str">
        <f t="shared" si="2"/>
        <v>1072 rh</v>
      </c>
      <c r="G152" s="134">
        <v>1072</v>
      </c>
      <c r="H152" s="135">
        <v>3</v>
      </c>
      <c r="I152" s="136" t="s">
        <v>373</v>
      </c>
      <c r="J152" s="136"/>
      <c r="K152" s="136" t="s">
        <v>374</v>
      </c>
      <c r="L152" s="133">
        <v>1</v>
      </c>
      <c r="M152" s="137">
        <v>45013</v>
      </c>
      <c r="N152" s="136" t="s">
        <v>392</v>
      </c>
      <c r="O152" s="138">
        <v>45013.62777777778</v>
      </c>
      <c r="P152" s="139">
        <v>112.7</v>
      </c>
      <c r="Q152" s="136" t="s">
        <v>376</v>
      </c>
      <c r="R152" s="139">
        <v>2.254</v>
      </c>
      <c r="S152" s="139">
        <v>1.2150000000000001</v>
      </c>
      <c r="T152" s="139">
        <v>1.86</v>
      </c>
      <c r="U152" s="139">
        <v>0.71</v>
      </c>
      <c r="V152" s="136"/>
    </row>
    <row r="153" spans="1:22" ht="14" thickBot="1" x14ac:dyDescent="0.4">
      <c r="A153" s="121" t="s">
        <v>21</v>
      </c>
      <c r="B153" s="130" t="s">
        <v>39</v>
      </c>
      <c r="C153" s="129" t="s">
        <v>121</v>
      </c>
      <c r="D153" s="133" t="s">
        <v>577</v>
      </c>
      <c r="E153" s="133" t="s">
        <v>378</v>
      </c>
      <c r="F153" s="146" t="str">
        <f t="shared" si="2"/>
        <v>1076 rh</v>
      </c>
      <c r="G153" s="134">
        <v>1076</v>
      </c>
      <c r="H153" s="135">
        <v>2</v>
      </c>
      <c r="I153" s="136" t="s">
        <v>373</v>
      </c>
      <c r="J153" s="136"/>
      <c r="K153" s="136" t="s">
        <v>374</v>
      </c>
      <c r="L153" s="133">
        <v>1</v>
      </c>
      <c r="M153" s="137">
        <v>45008</v>
      </c>
      <c r="N153" s="136" t="s">
        <v>386</v>
      </c>
      <c r="O153" s="138">
        <v>45009.821921296294</v>
      </c>
      <c r="P153" s="139">
        <v>170.1</v>
      </c>
      <c r="Q153" s="136" t="s">
        <v>376</v>
      </c>
      <c r="R153" s="139">
        <v>3.403</v>
      </c>
      <c r="S153" s="139">
        <v>1.7929999999999999</v>
      </c>
      <c r="T153" s="139">
        <v>1.9</v>
      </c>
      <c r="U153" s="139">
        <v>0.51</v>
      </c>
      <c r="V153" s="136"/>
    </row>
    <row r="154" spans="1:22" ht="14" thickBot="1" x14ac:dyDescent="0.4">
      <c r="A154" s="121" t="s">
        <v>21</v>
      </c>
      <c r="B154" s="122" t="s">
        <v>20</v>
      </c>
      <c r="C154" s="129" t="s">
        <v>121</v>
      </c>
      <c r="D154" s="133" t="s">
        <v>579</v>
      </c>
      <c r="E154" s="133" t="s">
        <v>378</v>
      </c>
      <c r="F154" s="146" t="str">
        <f t="shared" si="2"/>
        <v>1080 rh</v>
      </c>
      <c r="G154" s="134">
        <v>1080</v>
      </c>
      <c r="H154" s="135">
        <v>3</v>
      </c>
      <c r="I154" s="136" t="s">
        <v>373</v>
      </c>
      <c r="J154" s="136"/>
      <c r="K154" s="136" t="s">
        <v>374</v>
      </c>
      <c r="L154" s="133">
        <v>1</v>
      </c>
      <c r="M154" s="137">
        <v>45013</v>
      </c>
      <c r="N154" s="136" t="s">
        <v>392</v>
      </c>
      <c r="O154" s="138">
        <v>45013.629166666666</v>
      </c>
      <c r="P154" s="139">
        <v>120</v>
      </c>
      <c r="Q154" s="136" t="s">
        <v>376</v>
      </c>
      <c r="R154" s="139">
        <v>2.4009999999999998</v>
      </c>
      <c r="S154" s="139">
        <v>1.28</v>
      </c>
      <c r="T154" s="139">
        <v>1.87</v>
      </c>
      <c r="U154" s="139">
        <v>1.28</v>
      </c>
      <c r="V154" s="136"/>
    </row>
    <row r="155" spans="1:22" ht="14" thickBot="1" x14ac:dyDescent="0.4">
      <c r="A155" s="131" t="s">
        <v>25</v>
      </c>
      <c r="B155" s="130" t="s">
        <v>39</v>
      </c>
      <c r="C155" s="129" t="s">
        <v>121</v>
      </c>
      <c r="D155" s="133" t="s">
        <v>586</v>
      </c>
      <c r="E155" s="133" t="s">
        <v>378</v>
      </c>
      <c r="F155" s="146" t="str">
        <f t="shared" si="2"/>
        <v>1088 rh</v>
      </c>
      <c r="G155" s="134">
        <v>1088</v>
      </c>
      <c r="H155" s="135">
        <v>4</v>
      </c>
      <c r="I155" s="136" t="s">
        <v>373</v>
      </c>
      <c r="J155" s="136"/>
      <c r="K155" s="136" t="s">
        <v>374</v>
      </c>
      <c r="L155" s="133">
        <v>1</v>
      </c>
      <c r="M155" s="137">
        <v>45014</v>
      </c>
      <c r="N155" s="136" t="s">
        <v>392</v>
      </c>
      <c r="O155" s="138">
        <v>45014.609027777777</v>
      </c>
      <c r="P155" s="139">
        <v>105.4</v>
      </c>
      <c r="Q155" s="136" t="s">
        <v>376</v>
      </c>
      <c r="R155" s="139">
        <v>2.1080000000000001</v>
      </c>
      <c r="S155" s="139">
        <v>1.1279999999999999</v>
      </c>
      <c r="T155" s="139">
        <v>1.87</v>
      </c>
      <c r="U155" s="139">
        <v>0.66</v>
      </c>
      <c r="V155" s="136"/>
    </row>
    <row r="156" spans="1:22" ht="14" thickBot="1" x14ac:dyDescent="0.4">
      <c r="A156" s="121" t="s">
        <v>21</v>
      </c>
      <c r="B156" s="130" t="s">
        <v>39</v>
      </c>
      <c r="C156" s="129" t="s">
        <v>121</v>
      </c>
      <c r="D156" s="133" t="s">
        <v>588</v>
      </c>
      <c r="E156" s="133" t="s">
        <v>378</v>
      </c>
      <c r="F156" s="146" t="str">
        <f t="shared" si="2"/>
        <v>1092 rh</v>
      </c>
      <c r="G156" s="134">
        <v>1092</v>
      </c>
      <c r="H156" s="135">
        <v>3</v>
      </c>
      <c r="I156" s="136" t="s">
        <v>373</v>
      </c>
      <c r="J156" s="136"/>
      <c r="K156" s="136" t="s">
        <v>374</v>
      </c>
      <c r="L156" s="133">
        <v>1</v>
      </c>
      <c r="M156" s="137">
        <v>45013</v>
      </c>
      <c r="N156" s="136" t="s">
        <v>392</v>
      </c>
      <c r="O156" s="138">
        <v>45013.629861111112</v>
      </c>
      <c r="P156" s="139">
        <v>269.89999999999998</v>
      </c>
      <c r="Q156" s="136" t="s">
        <v>376</v>
      </c>
      <c r="R156" s="139">
        <v>5.3979999999999997</v>
      </c>
      <c r="S156" s="139">
        <v>2.85</v>
      </c>
      <c r="T156" s="139">
        <v>1.89</v>
      </c>
      <c r="U156" s="139">
        <v>1.66</v>
      </c>
      <c r="V156" s="136"/>
    </row>
    <row r="157" spans="1:22" ht="14" thickBot="1" x14ac:dyDescent="0.4">
      <c r="A157" s="121" t="s">
        <v>21</v>
      </c>
      <c r="B157" s="122" t="s">
        <v>20</v>
      </c>
      <c r="C157" s="129" t="s">
        <v>121</v>
      </c>
      <c r="D157" s="133" t="s">
        <v>590</v>
      </c>
      <c r="E157" s="133" t="s">
        <v>378</v>
      </c>
      <c r="F157" s="146" t="str">
        <f t="shared" si="2"/>
        <v>1094 rh</v>
      </c>
      <c r="G157" s="134">
        <v>1094</v>
      </c>
      <c r="H157" s="135">
        <v>4</v>
      </c>
      <c r="I157" s="136" t="s">
        <v>373</v>
      </c>
      <c r="J157" s="136"/>
      <c r="K157" s="136" t="s">
        <v>374</v>
      </c>
      <c r="L157" s="133">
        <v>1</v>
      </c>
      <c r="M157" s="137">
        <v>45014</v>
      </c>
      <c r="N157" s="136" t="s">
        <v>392</v>
      </c>
      <c r="O157" s="138">
        <v>45014.609722222223</v>
      </c>
      <c r="P157" s="139">
        <v>237.3</v>
      </c>
      <c r="Q157" s="136" t="s">
        <v>376</v>
      </c>
      <c r="R157" s="139">
        <v>4.7450000000000001</v>
      </c>
      <c r="S157" s="139">
        <v>2.516</v>
      </c>
      <c r="T157" s="139">
        <v>1.89</v>
      </c>
      <c r="U157" s="139">
        <v>0.96</v>
      </c>
      <c r="V157" s="136"/>
    </row>
    <row r="158" spans="1:22" ht="14" thickBot="1" x14ac:dyDescent="0.4">
      <c r="A158" s="131" t="s">
        <v>25</v>
      </c>
      <c r="B158" s="122" t="s">
        <v>20</v>
      </c>
      <c r="C158" s="129" t="s">
        <v>121</v>
      </c>
      <c r="D158" s="133" t="s">
        <v>596</v>
      </c>
      <c r="E158" s="133" t="s">
        <v>378</v>
      </c>
      <c r="F158" s="146" t="str">
        <f t="shared" si="2"/>
        <v>1098 rh</v>
      </c>
      <c r="G158" s="134">
        <v>1098</v>
      </c>
      <c r="H158" s="135">
        <v>6</v>
      </c>
      <c r="I158" s="136" t="s">
        <v>373</v>
      </c>
      <c r="J158" s="136"/>
      <c r="K158" s="136" t="s">
        <v>374</v>
      </c>
      <c r="L158" s="133">
        <v>2</v>
      </c>
      <c r="M158" s="137">
        <v>45034</v>
      </c>
      <c r="N158" s="136" t="s">
        <v>386</v>
      </c>
      <c r="O158" s="138">
        <v>45034.823541666665</v>
      </c>
      <c r="P158" s="139">
        <v>353.4</v>
      </c>
      <c r="Q158" s="136" t="s">
        <v>376</v>
      </c>
      <c r="R158" s="139">
        <v>7.0679999999999996</v>
      </c>
      <c r="S158" s="139">
        <v>3.7250000000000001</v>
      </c>
      <c r="T158" s="139">
        <v>1.9</v>
      </c>
      <c r="U158" s="139">
        <v>1.96</v>
      </c>
      <c r="V158" s="136"/>
    </row>
    <row r="159" spans="1:22" ht="14" thickBot="1" x14ac:dyDescent="0.4">
      <c r="A159" s="121" t="s">
        <v>21</v>
      </c>
      <c r="B159" s="130" t="s">
        <v>39</v>
      </c>
      <c r="C159" s="129" t="s">
        <v>121</v>
      </c>
      <c r="D159" s="133" t="s">
        <v>602</v>
      </c>
      <c r="E159" s="133" t="s">
        <v>378</v>
      </c>
      <c r="F159" s="146" t="str">
        <f t="shared" si="2"/>
        <v>1106 rh</v>
      </c>
      <c r="G159" s="134">
        <v>1106</v>
      </c>
      <c r="H159" s="135">
        <v>5</v>
      </c>
      <c r="I159" s="136" t="s">
        <v>373</v>
      </c>
      <c r="J159" s="136"/>
      <c r="K159" s="136" t="s">
        <v>374</v>
      </c>
      <c r="L159" s="133">
        <v>2</v>
      </c>
      <c r="M159" s="137">
        <v>45019</v>
      </c>
      <c r="N159" s="136" t="s">
        <v>392</v>
      </c>
      <c r="O159" s="138">
        <v>45019.615543981483</v>
      </c>
      <c r="P159" s="139">
        <v>127.2</v>
      </c>
      <c r="Q159" s="136" t="s">
        <v>376</v>
      </c>
      <c r="R159" s="139">
        <v>2.544</v>
      </c>
      <c r="S159" s="139">
        <v>1.3340000000000001</v>
      </c>
      <c r="T159" s="139">
        <v>1.91</v>
      </c>
      <c r="U159" s="139">
        <v>0.53</v>
      </c>
      <c r="V159" s="136"/>
    </row>
    <row r="160" spans="1:22" ht="14" thickBot="1" x14ac:dyDescent="0.4">
      <c r="A160" s="121" t="s">
        <v>21</v>
      </c>
      <c r="B160" s="130" t="s">
        <v>39</v>
      </c>
      <c r="C160" s="129" t="s">
        <v>121</v>
      </c>
      <c r="D160" s="133" t="s">
        <v>621</v>
      </c>
      <c r="E160" s="133" t="s">
        <v>378</v>
      </c>
      <c r="F160" s="146" t="str">
        <f t="shared" si="2"/>
        <v>1120 rh</v>
      </c>
      <c r="G160" s="134">
        <v>1120</v>
      </c>
      <c r="H160" s="135">
        <v>7</v>
      </c>
      <c r="I160" s="136" t="s">
        <v>373</v>
      </c>
      <c r="J160" s="136"/>
      <c r="K160" s="136" t="s">
        <v>374</v>
      </c>
      <c r="L160" s="133">
        <v>2</v>
      </c>
      <c r="M160" s="137">
        <v>45036</v>
      </c>
      <c r="N160" s="136" t="s">
        <v>386</v>
      </c>
      <c r="O160" s="138">
        <v>45036.828287037039</v>
      </c>
      <c r="P160" s="139">
        <v>231.3</v>
      </c>
      <c r="Q160" s="136" t="s">
        <v>376</v>
      </c>
      <c r="R160" s="139">
        <v>4.625</v>
      </c>
      <c r="S160" s="139">
        <v>2.4689999999999999</v>
      </c>
      <c r="T160" s="139">
        <v>1.87</v>
      </c>
      <c r="U160" s="139">
        <v>1.93</v>
      </c>
      <c r="V160" s="136"/>
    </row>
    <row r="161" spans="1:22" ht="14" thickBot="1" x14ac:dyDescent="0.4">
      <c r="A161" s="131" t="s">
        <v>25</v>
      </c>
      <c r="B161" s="122" t="s">
        <v>20</v>
      </c>
      <c r="C161" s="129" t="s">
        <v>121</v>
      </c>
      <c r="D161" s="133" t="s">
        <v>632</v>
      </c>
      <c r="E161" s="133" t="s">
        <v>378</v>
      </c>
      <c r="F161" s="146" t="str">
        <f t="shared" si="2"/>
        <v>1132 rh</v>
      </c>
      <c r="G161" s="134">
        <v>1132</v>
      </c>
      <c r="H161" s="135">
        <v>8</v>
      </c>
      <c r="I161" s="136" t="s">
        <v>373</v>
      </c>
      <c r="J161" s="136"/>
      <c r="K161" s="136" t="s">
        <v>374</v>
      </c>
      <c r="L161" s="133">
        <v>2</v>
      </c>
      <c r="M161" s="137">
        <v>45078</v>
      </c>
      <c r="N161" s="136" t="s">
        <v>420</v>
      </c>
      <c r="O161" s="138">
        <v>45079.466261574074</v>
      </c>
      <c r="P161" s="139">
        <v>371.1</v>
      </c>
      <c r="Q161" s="136" t="s">
        <v>376</v>
      </c>
      <c r="R161" s="139">
        <v>7.4210000000000003</v>
      </c>
      <c r="S161" s="139">
        <v>3.968</v>
      </c>
      <c r="T161" s="139">
        <v>1.87</v>
      </c>
      <c r="U161" s="139">
        <v>1.79</v>
      </c>
      <c r="V161" s="140" t="s">
        <v>633</v>
      </c>
    </row>
    <row r="162" spans="1:22" ht="14" thickBot="1" x14ac:dyDescent="0.4">
      <c r="A162" s="131" t="s">
        <v>25</v>
      </c>
      <c r="B162" s="130" t="s">
        <v>39</v>
      </c>
      <c r="C162" s="122" t="s">
        <v>19</v>
      </c>
      <c r="D162" s="141" t="s">
        <v>387</v>
      </c>
      <c r="E162" s="141" t="s">
        <v>388</v>
      </c>
      <c r="F162" s="146" t="str">
        <f t="shared" si="2"/>
        <v>22 ro</v>
      </c>
      <c r="G162" s="123">
        <v>22</v>
      </c>
      <c r="H162" s="124" t="s">
        <v>381</v>
      </c>
      <c r="I162" s="125" t="s">
        <v>374</v>
      </c>
      <c r="J162" s="126">
        <v>45085</v>
      </c>
      <c r="K162" s="125" t="s">
        <v>374</v>
      </c>
      <c r="L162" s="141"/>
      <c r="M162" s="126">
        <v>45085</v>
      </c>
      <c r="N162" s="125" t="s">
        <v>382</v>
      </c>
      <c r="O162" s="126">
        <v>45086</v>
      </c>
      <c r="P162" s="132">
        <v>13.1</v>
      </c>
      <c r="Q162" s="125" t="s">
        <v>376</v>
      </c>
      <c r="R162" s="128">
        <v>0.26100000000000001</v>
      </c>
      <c r="S162" s="128">
        <v>0.14799999999999999</v>
      </c>
      <c r="T162" s="128">
        <v>1.76</v>
      </c>
      <c r="U162" s="128">
        <v>0.96</v>
      </c>
      <c r="V162" s="125" t="s">
        <v>383</v>
      </c>
    </row>
    <row r="163" spans="1:22" ht="14" thickBot="1" x14ac:dyDescent="0.4">
      <c r="A163" s="121" t="s">
        <v>21</v>
      </c>
      <c r="B163" s="122" t="s">
        <v>20</v>
      </c>
      <c r="C163" s="122" t="s">
        <v>19</v>
      </c>
      <c r="D163" s="141" t="s">
        <v>400</v>
      </c>
      <c r="E163" s="141" t="s">
        <v>388</v>
      </c>
      <c r="F163" s="146" t="str">
        <f t="shared" si="2"/>
        <v>32 ro</v>
      </c>
      <c r="G163" s="123">
        <v>32</v>
      </c>
      <c r="H163" s="124" t="s">
        <v>381</v>
      </c>
      <c r="I163" s="125" t="s">
        <v>374</v>
      </c>
      <c r="J163" s="126">
        <v>45085</v>
      </c>
      <c r="K163" s="125" t="s">
        <v>374</v>
      </c>
      <c r="L163" s="141"/>
      <c r="M163" s="126">
        <v>45085</v>
      </c>
      <c r="N163" s="125" t="s">
        <v>382</v>
      </c>
      <c r="O163" s="126">
        <v>45086</v>
      </c>
      <c r="P163" s="132">
        <v>33.700000000000003</v>
      </c>
      <c r="Q163" s="125" t="s">
        <v>376</v>
      </c>
      <c r="R163" s="128">
        <v>0.67500000000000004</v>
      </c>
      <c r="S163" s="128">
        <v>0.373</v>
      </c>
      <c r="T163" s="128">
        <v>1.81</v>
      </c>
      <c r="U163" s="128">
        <v>0.71</v>
      </c>
      <c r="V163" s="125" t="s">
        <v>383</v>
      </c>
    </row>
    <row r="164" spans="1:22" ht="14" thickBot="1" x14ac:dyDescent="0.4">
      <c r="A164" s="131" t="s">
        <v>25</v>
      </c>
      <c r="B164" s="122" t="s">
        <v>20</v>
      </c>
      <c r="C164" s="122" t="s">
        <v>19</v>
      </c>
      <c r="D164" s="141" t="s">
        <v>406</v>
      </c>
      <c r="E164" s="141" t="s">
        <v>388</v>
      </c>
      <c r="F164" s="146" t="str">
        <f t="shared" si="2"/>
        <v>36 ro</v>
      </c>
      <c r="G164" s="123">
        <v>36</v>
      </c>
      <c r="H164" s="124" t="s">
        <v>381</v>
      </c>
      <c r="I164" s="125" t="s">
        <v>374</v>
      </c>
      <c r="J164" s="126">
        <v>45085</v>
      </c>
      <c r="K164" s="125" t="s">
        <v>374</v>
      </c>
      <c r="L164" s="141"/>
      <c r="M164" s="126">
        <v>45085</v>
      </c>
      <c r="N164" s="125" t="s">
        <v>382</v>
      </c>
      <c r="O164" s="126">
        <v>45086</v>
      </c>
      <c r="P164" s="132">
        <v>17.5</v>
      </c>
      <c r="Q164" s="125" t="s">
        <v>376</v>
      </c>
      <c r="R164" s="128">
        <v>0.35</v>
      </c>
      <c r="S164" s="128">
        <v>0.20499999999999999</v>
      </c>
      <c r="T164" s="128">
        <v>1.7</v>
      </c>
      <c r="U164" s="128">
        <v>1.2</v>
      </c>
      <c r="V164" s="125" t="s">
        <v>383</v>
      </c>
    </row>
    <row r="165" spans="1:22" ht="14" thickBot="1" x14ac:dyDescent="0.4">
      <c r="A165" s="121" t="s">
        <v>21</v>
      </c>
      <c r="B165" s="130" t="s">
        <v>39</v>
      </c>
      <c r="C165" s="122" t="s">
        <v>19</v>
      </c>
      <c r="D165" s="141" t="s">
        <v>414</v>
      </c>
      <c r="E165" s="141" t="s">
        <v>388</v>
      </c>
      <c r="F165" s="146" t="str">
        <f t="shared" si="2"/>
        <v>50 ro</v>
      </c>
      <c r="G165" s="123">
        <v>50</v>
      </c>
      <c r="H165" s="124" t="s">
        <v>381</v>
      </c>
      <c r="I165" s="125" t="s">
        <v>374</v>
      </c>
      <c r="J165" s="126">
        <v>45085</v>
      </c>
      <c r="K165" s="125" t="s">
        <v>374</v>
      </c>
      <c r="L165" s="141"/>
      <c r="M165" s="126">
        <v>45085</v>
      </c>
      <c r="N165" s="125" t="s">
        <v>382</v>
      </c>
      <c r="O165" s="126">
        <v>45086</v>
      </c>
      <c r="P165" s="132">
        <v>19.399999999999999</v>
      </c>
      <c r="Q165" s="125" t="s">
        <v>376</v>
      </c>
      <c r="R165" s="128">
        <v>0.38800000000000001</v>
      </c>
      <c r="S165" s="128">
        <v>0.224</v>
      </c>
      <c r="T165" s="128">
        <v>1.73</v>
      </c>
      <c r="U165" s="128">
        <v>1.1399999999999999</v>
      </c>
      <c r="V165" s="125" t="s">
        <v>383</v>
      </c>
    </row>
    <row r="166" spans="1:22" ht="14" thickBot="1" x14ac:dyDescent="0.4">
      <c r="A166" s="131" t="s">
        <v>25</v>
      </c>
      <c r="B166" s="130" t="s">
        <v>39</v>
      </c>
      <c r="C166" s="122" t="s">
        <v>19</v>
      </c>
      <c r="D166" s="141" t="s">
        <v>421</v>
      </c>
      <c r="E166" s="141" t="s">
        <v>388</v>
      </c>
      <c r="F166" s="146" t="str">
        <f t="shared" si="2"/>
        <v>60 ro</v>
      </c>
      <c r="G166" s="123">
        <v>60</v>
      </c>
      <c r="H166" s="124">
        <v>17</v>
      </c>
      <c r="I166" s="125" t="s">
        <v>374</v>
      </c>
      <c r="J166" s="126">
        <v>45106</v>
      </c>
      <c r="K166" s="125" t="s">
        <v>374</v>
      </c>
      <c r="L166" s="141"/>
      <c r="M166" s="126">
        <v>45106</v>
      </c>
      <c r="N166" s="125" t="s">
        <v>382</v>
      </c>
      <c r="O166" s="127">
        <v>45107.605810185189</v>
      </c>
      <c r="P166" s="132">
        <v>16.8</v>
      </c>
      <c r="Q166" s="125" t="s">
        <v>376</v>
      </c>
      <c r="R166" s="128">
        <v>0.33600000000000002</v>
      </c>
      <c r="S166" s="128">
        <v>0.2</v>
      </c>
      <c r="T166" s="128">
        <v>1.68</v>
      </c>
      <c r="U166" s="132">
        <v>0.12</v>
      </c>
      <c r="V166" s="125"/>
    </row>
    <row r="167" spans="1:22" ht="14" thickBot="1" x14ac:dyDescent="0.4">
      <c r="A167" s="121" t="s">
        <v>21</v>
      </c>
      <c r="B167" s="122" t="s">
        <v>20</v>
      </c>
      <c r="C167" s="122" t="s">
        <v>19</v>
      </c>
      <c r="D167" s="141" t="s">
        <v>428</v>
      </c>
      <c r="E167" s="141" t="s">
        <v>388</v>
      </c>
      <c r="F167" s="146" t="str">
        <f t="shared" si="2"/>
        <v>70 ro</v>
      </c>
      <c r="G167" s="123">
        <v>70</v>
      </c>
      <c r="H167" s="124">
        <v>15</v>
      </c>
      <c r="I167" s="125" t="s">
        <v>374</v>
      </c>
      <c r="J167" s="126">
        <v>45099</v>
      </c>
      <c r="K167" s="125" t="s">
        <v>374</v>
      </c>
      <c r="L167" s="141"/>
      <c r="M167" s="126">
        <v>45093</v>
      </c>
      <c r="N167" s="125" t="s">
        <v>382</v>
      </c>
      <c r="O167" s="127">
        <v>45097.646932870368</v>
      </c>
      <c r="P167" s="132">
        <v>47</v>
      </c>
      <c r="Q167" s="125" t="s">
        <v>376</v>
      </c>
      <c r="R167" s="128">
        <v>0.94</v>
      </c>
      <c r="S167" s="128">
        <v>0.51100000000000001</v>
      </c>
      <c r="T167" s="128">
        <v>1.84</v>
      </c>
      <c r="U167" s="128">
        <v>0.65</v>
      </c>
      <c r="V167" s="125"/>
    </row>
    <row r="168" spans="1:22" ht="14" thickBot="1" x14ac:dyDescent="0.4">
      <c r="A168" s="121" t="s">
        <v>21</v>
      </c>
      <c r="B168" s="130" t="s">
        <v>39</v>
      </c>
      <c r="C168" s="122" t="s">
        <v>19</v>
      </c>
      <c r="D168" s="141" t="s">
        <v>434</v>
      </c>
      <c r="E168" s="141" t="s">
        <v>388</v>
      </c>
      <c r="F168" s="146" t="str">
        <f t="shared" si="2"/>
        <v>74 ro</v>
      </c>
      <c r="G168" s="123">
        <v>74</v>
      </c>
      <c r="H168" s="124">
        <v>15</v>
      </c>
      <c r="I168" s="125" t="s">
        <v>374</v>
      </c>
      <c r="J168" s="126">
        <v>45099</v>
      </c>
      <c r="K168" s="125" t="s">
        <v>374</v>
      </c>
      <c r="L168" s="141"/>
      <c r="M168" s="126">
        <v>45093</v>
      </c>
      <c r="N168" s="125" t="s">
        <v>382</v>
      </c>
      <c r="O168" s="127">
        <v>45097.648634259262</v>
      </c>
      <c r="P168" s="132">
        <v>37.700000000000003</v>
      </c>
      <c r="Q168" s="125" t="s">
        <v>376</v>
      </c>
      <c r="R168" s="128">
        <v>0.754</v>
      </c>
      <c r="S168" s="128">
        <v>0.432</v>
      </c>
      <c r="T168" s="128">
        <v>1.75</v>
      </c>
      <c r="U168" s="128">
        <v>1.19</v>
      </c>
      <c r="V168" s="142" t="s">
        <v>354</v>
      </c>
    </row>
    <row r="169" spans="1:22" ht="14" thickBot="1" x14ac:dyDescent="0.4">
      <c r="A169" s="131" t="s">
        <v>25</v>
      </c>
      <c r="B169" s="130" t="s">
        <v>39</v>
      </c>
      <c r="C169" s="122" t="s">
        <v>19</v>
      </c>
      <c r="D169" s="141" t="s">
        <v>438</v>
      </c>
      <c r="E169" s="141" t="s">
        <v>388</v>
      </c>
      <c r="F169" s="146" t="str">
        <f t="shared" si="2"/>
        <v>78 ro</v>
      </c>
      <c r="G169" s="123">
        <v>78</v>
      </c>
      <c r="H169" s="124">
        <v>18</v>
      </c>
      <c r="I169" s="125" t="s">
        <v>374</v>
      </c>
      <c r="J169" s="126">
        <v>45113</v>
      </c>
      <c r="K169" s="125" t="s">
        <v>374</v>
      </c>
      <c r="L169" s="141"/>
      <c r="M169" s="126">
        <v>45114</v>
      </c>
      <c r="N169" s="125" t="s">
        <v>382</v>
      </c>
      <c r="O169" s="127">
        <v>45117.452361111114</v>
      </c>
      <c r="P169" s="132">
        <v>33.9</v>
      </c>
      <c r="Q169" s="125" t="s">
        <v>376</v>
      </c>
      <c r="R169" s="128">
        <v>0.67700000000000005</v>
      </c>
      <c r="S169" s="128">
        <v>0.36799999999999999</v>
      </c>
      <c r="T169" s="128">
        <v>1.84</v>
      </c>
      <c r="U169" s="132">
        <v>0.06</v>
      </c>
      <c r="V169" s="125"/>
    </row>
    <row r="170" spans="1:22" ht="14" thickBot="1" x14ac:dyDescent="0.4">
      <c r="A170" s="121" t="s">
        <v>21</v>
      </c>
      <c r="B170" s="130" t="s">
        <v>39</v>
      </c>
      <c r="C170" s="122" t="s">
        <v>19</v>
      </c>
      <c r="D170" s="141" t="s">
        <v>442</v>
      </c>
      <c r="E170" s="141" t="s">
        <v>388</v>
      </c>
      <c r="F170" s="146" t="str">
        <f t="shared" si="2"/>
        <v>82 ro</v>
      </c>
      <c r="G170" s="123">
        <v>82</v>
      </c>
      <c r="H170" s="124">
        <v>16</v>
      </c>
      <c r="I170" s="125" t="s">
        <v>374</v>
      </c>
      <c r="J170" s="126">
        <v>45103</v>
      </c>
      <c r="K170" s="125" t="s">
        <v>374</v>
      </c>
      <c r="L170" s="141"/>
      <c r="M170" s="126">
        <v>45100</v>
      </c>
      <c r="N170" s="125" t="s">
        <v>382</v>
      </c>
      <c r="O170" s="127">
        <v>45100.617766203701</v>
      </c>
      <c r="P170" s="128">
        <v>59.5</v>
      </c>
      <c r="Q170" s="125" t="s">
        <v>376</v>
      </c>
      <c r="R170" s="128">
        <v>1.19</v>
      </c>
      <c r="S170" s="128">
        <v>0.61</v>
      </c>
      <c r="T170" s="128">
        <v>1.95</v>
      </c>
      <c r="U170" s="132">
        <v>0.09</v>
      </c>
      <c r="V170" s="125"/>
    </row>
    <row r="171" spans="1:22" ht="14" thickBot="1" x14ac:dyDescent="0.4">
      <c r="A171" s="121" t="s">
        <v>21</v>
      </c>
      <c r="B171" s="122" t="s">
        <v>20</v>
      </c>
      <c r="C171" s="122" t="s">
        <v>19</v>
      </c>
      <c r="D171" s="141" t="s">
        <v>448</v>
      </c>
      <c r="E171" s="141" t="s">
        <v>388</v>
      </c>
      <c r="F171" s="146" t="str">
        <f t="shared" si="2"/>
        <v>86 ro</v>
      </c>
      <c r="G171" s="123">
        <v>86</v>
      </c>
      <c r="H171" s="124">
        <v>16</v>
      </c>
      <c r="I171" s="125" t="s">
        <v>374</v>
      </c>
      <c r="J171" s="126">
        <v>45105</v>
      </c>
      <c r="K171" s="125" t="s">
        <v>374</v>
      </c>
      <c r="L171" s="141"/>
      <c r="M171" s="126">
        <v>45100</v>
      </c>
      <c r="N171" s="125" t="s">
        <v>382</v>
      </c>
      <c r="O171" s="127">
        <v>45100.620972222219</v>
      </c>
      <c r="P171" s="132">
        <v>42.9</v>
      </c>
      <c r="Q171" s="125" t="s">
        <v>376</v>
      </c>
      <c r="R171" s="128">
        <v>0.85899999999999999</v>
      </c>
      <c r="S171" s="128">
        <v>0.46500000000000002</v>
      </c>
      <c r="T171" s="128">
        <v>1.85</v>
      </c>
      <c r="U171" s="132">
        <v>0.06</v>
      </c>
      <c r="V171" s="125"/>
    </row>
    <row r="172" spans="1:22" ht="14" thickBot="1" x14ac:dyDescent="0.4">
      <c r="A172" s="131" t="s">
        <v>25</v>
      </c>
      <c r="B172" s="122" t="s">
        <v>20</v>
      </c>
      <c r="C172" s="122" t="s">
        <v>19</v>
      </c>
      <c r="D172" s="141" t="s">
        <v>452</v>
      </c>
      <c r="E172" s="141" t="s">
        <v>388</v>
      </c>
      <c r="F172" s="146" t="str">
        <f t="shared" si="2"/>
        <v>90 ro</v>
      </c>
      <c r="G172" s="123">
        <v>90</v>
      </c>
      <c r="H172" s="124">
        <v>15</v>
      </c>
      <c r="I172" s="125" t="s">
        <v>374</v>
      </c>
      <c r="J172" s="126">
        <v>45099</v>
      </c>
      <c r="K172" s="125" t="s">
        <v>374</v>
      </c>
      <c r="L172" s="141"/>
      <c r="M172" s="126">
        <v>45093</v>
      </c>
      <c r="N172" s="125" t="s">
        <v>382</v>
      </c>
      <c r="O172" s="127">
        <v>45097.649907407409</v>
      </c>
      <c r="P172" s="132">
        <v>47.8</v>
      </c>
      <c r="Q172" s="125" t="s">
        <v>376</v>
      </c>
      <c r="R172" s="128">
        <v>0.95499999999999996</v>
      </c>
      <c r="S172" s="128">
        <v>0.54800000000000004</v>
      </c>
      <c r="T172" s="128">
        <v>1.74</v>
      </c>
      <c r="U172" s="128">
        <v>0.61</v>
      </c>
      <c r="V172" s="125"/>
    </row>
    <row r="173" spans="1:22" ht="14" thickBot="1" x14ac:dyDescent="0.4">
      <c r="A173" s="131" t="s">
        <v>25</v>
      </c>
      <c r="B173" s="130" t="s">
        <v>39</v>
      </c>
      <c r="C173" s="122" t="s">
        <v>19</v>
      </c>
      <c r="D173" s="141" t="s">
        <v>458</v>
      </c>
      <c r="E173" s="141" t="s">
        <v>388</v>
      </c>
      <c r="F173" s="146" t="str">
        <f t="shared" si="2"/>
        <v>96 ro</v>
      </c>
      <c r="G173" s="123">
        <v>96</v>
      </c>
      <c r="H173" s="124">
        <v>19</v>
      </c>
      <c r="I173" s="125" t="s">
        <v>374</v>
      </c>
      <c r="J173" s="126">
        <v>45114</v>
      </c>
      <c r="K173" s="125" t="s">
        <v>374</v>
      </c>
      <c r="L173" s="141"/>
      <c r="M173" s="126">
        <v>45114</v>
      </c>
      <c r="N173" s="125" t="s">
        <v>382</v>
      </c>
      <c r="O173" s="127">
        <v>45117.465092592596</v>
      </c>
      <c r="P173" s="132">
        <v>15.6</v>
      </c>
      <c r="Q173" s="125" t="s">
        <v>376</v>
      </c>
      <c r="R173" s="128">
        <v>0.311</v>
      </c>
      <c r="S173" s="128">
        <v>0.17100000000000001</v>
      </c>
      <c r="T173" s="128">
        <v>1.82</v>
      </c>
      <c r="U173" s="132">
        <v>0.31</v>
      </c>
      <c r="V173" s="125"/>
    </row>
    <row r="174" spans="1:22" ht="14" thickBot="1" x14ac:dyDescent="0.4">
      <c r="A174" s="121" t="s">
        <v>21</v>
      </c>
      <c r="B174" s="122" t="s">
        <v>20</v>
      </c>
      <c r="C174" s="122" t="s">
        <v>19</v>
      </c>
      <c r="D174" s="141" t="s">
        <v>464</v>
      </c>
      <c r="E174" s="141" t="s">
        <v>388</v>
      </c>
      <c r="F174" s="146" t="str">
        <f t="shared" si="2"/>
        <v>102 ro</v>
      </c>
      <c r="G174" s="123">
        <v>102</v>
      </c>
      <c r="H174" s="124">
        <v>17</v>
      </c>
      <c r="I174" s="125" t="s">
        <v>374</v>
      </c>
      <c r="J174" s="126">
        <v>45106</v>
      </c>
      <c r="K174" s="125" t="s">
        <v>374</v>
      </c>
      <c r="L174" s="141"/>
      <c r="M174" s="126">
        <v>45106</v>
      </c>
      <c r="N174" s="125" t="s">
        <v>382</v>
      </c>
      <c r="O174" s="127">
        <v>45107.60423611111</v>
      </c>
      <c r="P174" s="132">
        <v>23.3</v>
      </c>
      <c r="Q174" s="125" t="s">
        <v>376</v>
      </c>
      <c r="R174" s="128">
        <v>0.46700000000000003</v>
      </c>
      <c r="S174" s="128">
        <v>0.26</v>
      </c>
      <c r="T174" s="128">
        <v>1.8</v>
      </c>
      <c r="U174" s="132">
        <v>0.05</v>
      </c>
      <c r="V174" s="125"/>
    </row>
    <row r="175" spans="1:22" ht="14" thickBot="1" x14ac:dyDescent="0.4">
      <c r="A175" s="121" t="s">
        <v>21</v>
      </c>
      <c r="B175" s="130" t="s">
        <v>39</v>
      </c>
      <c r="C175" s="122" t="s">
        <v>19</v>
      </c>
      <c r="D175" s="141" t="s">
        <v>473</v>
      </c>
      <c r="E175" s="141" t="s">
        <v>388</v>
      </c>
      <c r="F175" s="146" t="str">
        <f t="shared" si="2"/>
        <v>108 ro</v>
      </c>
      <c r="G175" s="123">
        <v>108</v>
      </c>
      <c r="H175" s="124">
        <v>17</v>
      </c>
      <c r="I175" s="125" t="s">
        <v>374</v>
      </c>
      <c r="J175" s="126">
        <v>45107</v>
      </c>
      <c r="K175" s="125" t="s">
        <v>374</v>
      </c>
      <c r="L175" s="141"/>
      <c r="M175" s="126">
        <v>45106</v>
      </c>
      <c r="N175" s="125" t="s">
        <v>382</v>
      </c>
      <c r="O175" s="127">
        <v>45107.617129629631</v>
      </c>
      <c r="P175" s="132">
        <v>27.4</v>
      </c>
      <c r="Q175" s="125" t="s">
        <v>376</v>
      </c>
      <c r="R175" s="128">
        <v>0.54700000000000004</v>
      </c>
      <c r="S175" s="128">
        <v>0.30199999999999999</v>
      </c>
      <c r="T175" s="128">
        <v>1.82</v>
      </c>
      <c r="U175" s="132">
        <v>7.0000000000000007E-2</v>
      </c>
      <c r="V175" s="125"/>
    </row>
    <row r="176" spans="1:22" ht="14" thickBot="1" x14ac:dyDescent="0.4">
      <c r="A176" s="131" t="s">
        <v>25</v>
      </c>
      <c r="B176" s="122" t="s">
        <v>20</v>
      </c>
      <c r="C176" s="122" t="s">
        <v>19</v>
      </c>
      <c r="D176" s="141" t="s">
        <v>479</v>
      </c>
      <c r="E176" s="141" t="s">
        <v>388</v>
      </c>
      <c r="F176" s="146" t="str">
        <f t="shared" si="2"/>
        <v>118 ro</v>
      </c>
      <c r="G176" s="123">
        <v>118</v>
      </c>
      <c r="H176" s="124">
        <v>16</v>
      </c>
      <c r="I176" s="125" t="s">
        <v>374</v>
      </c>
      <c r="J176" s="126">
        <v>45107</v>
      </c>
      <c r="K176" s="125" t="s">
        <v>374</v>
      </c>
      <c r="L176" s="141"/>
      <c r="M176" s="126">
        <v>45100</v>
      </c>
      <c r="N176" s="125" t="s">
        <v>382</v>
      </c>
      <c r="O176" s="127">
        <v>45100.622210648151</v>
      </c>
      <c r="P176" s="132">
        <v>29.5</v>
      </c>
      <c r="Q176" s="125" t="s">
        <v>376</v>
      </c>
      <c r="R176" s="128">
        <v>0.58899999999999997</v>
      </c>
      <c r="S176" s="128">
        <v>0.36799999999999999</v>
      </c>
      <c r="T176" s="128">
        <v>1.6</v>
      </c>
      <c r="U176" s="132">
        <v>0.08</v>
      </c>
      <c r="V176" s="125"/>
    </row>
    <row r="177" spans="1:22" ht="14" thickBot="1" x14ac:dyDescent="0.4">
      <c r="A177" s="121" t="s">
        <v>21</v>
      </c>
      <c r="B177" s="122" t="s">
        <v>20</v>
      </c>
      <c r="C177" s="122" t="s">
        <v>19</v>
      </c>
      <c r="D177" s="141" t="s">
        <v>483</v>
      </c>
      <c r="E177" s="141" t="s">
        <v>388</v>
      </c>
      <c r="F177" s="146" t="str">
        <f t="shared" si="2"/>
        <v>122 ro</v>
      </c>
      <c r="G177" s="123">
        <v>122</v>
      </c>
      <c r="H177" s="124">
        <v>18</v>
      </c>
      <c r="I177" s="125" t="s">
        <v>374</v>
      </c>
      <c r="J177" s="126">
        <v>45113</v>
      </c>
      <c r="K177" s="125" t="s">
        <v>374</v>
      </c>
      <c r="L177" s="141"/>
      <c r="M177" s="126">
        <v>45114</v>
      </c>
      <c r="N177" s="125" t="s">
        <v>382</v>
      </c>
      <c r="O177" s="127">
        <v>45117.45380787037</v>
      </c>
      <c r="P177" s="132">
        <v>32.4</v>
      </c>
      <c r="Q177" s="125" t="s">
        <v>376</v>
      </c>
      <c r="R177" s="128">
        <v>0.64900000000000002</v>
      </c>
      <c r="S177" s="128">
        <v>0.33600000000000002</v>
      </c>
      <c r="T177" s="128">
        <v>1.93</v>
      </c>
      <c r="U177" s="132">
        <v>0.04</v>
      </c>
      <c r="V177" s="125"/>
    </row>
    <row r="178" spans="1:22" ht="14" thickBot="1" x14ac:dyDescent="0.4">
      <c r="A178" s="131" t="s">
        <v>25</v>
      </c>
      <c r="B178" s="130" t="s">
        <v>39</v>
      </c>
      <c r="C178" s="122" t="s">
        <v>19</v>
      </c>
      <c r="D178" s="141" t="s">
        <v>487</v>
      </c>
      <c r="E178" s="141" t="s">
        <v>388</v>
      </c>
      <c r="F178" s="146" t="str">
        <f t="shared" si="2"/>
        <v>124 ro</v>
      </c>
      <c r="G178" s="123">
        <v>124</v>
      </c>
      <c r="H178" s="124">
        <v>19</v>
      </c>
      <c r="I178" s="125" t="s">
        <v>374</v>
      </c>
      <c r="J178" s="126">
        <v>45114</v>
      </c>
      <c r="K178" s="125" t="s">
        <v>374</v>
      </c>
      <c r="L178" s="141"/>
      <c r="M178" s="126">
        <v>45114</v>
      </c>
      <c r="N178" s="125" t="s">
        <v>382</v>
      </c>
      <c r="O178" s="127">
        <v>45117.466446759259</v>
      </c>
      <c r="P178" s="132">
        <v>37</v>
      </c>
      <c r="Q178" s="125" t="s">
        <v>376</v>
      </c>
      <c r="R178" s="128">
        <v>0.74099999999999999</v>
      </c>
      <c r="S178" s="128">
        <v>0.42499999999999999</v>
      </c>
      <c r="T178" s="128">
        <v>1.74</v>
      </c>
      <c r="U178" s="128">
        <v>0.94</v>
      </c>
      <c r="V178" s="125"/>
    </row>
    <row r="179" spans="1:22" ht="14" thickBot="1" x14ac:dyDescent="0.4">
      <c r="A179" s="131" t="s">
        <v>25</v>
      </c>
      <c r="B179" s="122" t="s">
        <v>20</v>
      </c>
      <c r="C179" s="122" t="s">
        <v>19</v>
      </c>
      <c r="D179" s="141" t="s">
        <v>492</v>
      </c>
      <c r="E179" s="141" t="s">
        <v>388</v>
      </c>
      <c r="F179" s="146" t="str">
        <f t="shared" si="2"/>
        <v>126 ro</v>
      </c>
      <c r="G179" s="123">
        <v>126</v>
      </c>
      <c r="H179" s="124">
        <v>17</v>
      </c>
      <c r="I179" s="125" t="s">
        <v>374</v>
      </c>
      <c r="J179" s="126">
        <v>45107</v>
      </c>
      <c r="K179" s="125" t="s">
        <v>374</v>
      </c>
      <c r="L179" s="141"/>
      <c r="M179" s="126">
        <v>45106</v>
      </c>
      <c r="N179" s="125" t="s">
        <v>382</v>
      </c>
      <c r="O179" s="127">
        <v>45107.618796296294</v>
      </c>
      <c r="P179" s="132">
        <v>32.6</v>
      </c>
      <c r="Q179" s="125" t="s">
        <v>376</v>
      </c>
      <c r="R179" s="128">
        <v>0.65100000000000002</v>
      </c>
      <c r="S179" s="128">
        <v>0.39400000000000002</v>
      </c>
      <c r="T179" s="128">
        <v>1.65</v>
      </c>
      <c r="U179" s="132">
        <v>0.28000000000000003</v>
      </c>
      <c r="V179" s="125"/>
    </row>
    <row r="180" spans="1:22" ht="14" hidden="1" thickBot="1" x14ac:dyDescent="0.4">
      <c r="A180" s="121" t="s">
        <v>21</v>
      </c>
      <c r="B180" s="130" t="s">
        <v>39</v>
      </c>
      <c r="C180" s="122" t="s">
        <v>19</v>
      </c>
      <c r="D180" s="141" t="s">
        <v>498</v>
      </c>
      <c r="E180" s="141" t="s">
        <v>388</v>
      </c>
      <c r="F180" s="146" t="str">
        <f t="shared" si="2"/>
        <v>130 ro</v>
      </c>
      <c r="G180" s="123">
        <v>130</v>
      </c>
      <c r="H180" s="124">
        <v>18</v>
      </c>
      <c r="I180" s="125" t="s">
        <v>499</v>
      </c>
      <c r="J180" s="125"/>
      <c r="K180" s="125"/>
      <c r="L180" s="141"/>
      <c r="M180" s="125"/>
      <c r="N180" s="125"/>
      <c r="O180" s="125"/>
      <c r="P180" s="125"/>
      <c r="Q180" s="125"/>
      <c r="R180" s="125"/>
      <c r="S180" s="125"/>
      <c r="T180" s="125"/>
      <c r="U180" s="125"/>
      <c r="V180" s="142" t="s">
        <v>500</v>
      </c>
    </row>
    <row r="181" spans="1:22" ht="14" thickBot="1" x14ac:dyDescent="0.4">
      <c r="A181" s="131" t="s">
        <v>25</v>
      </c>
      <c r="B181" s="122" t="s">
        <v>20</v>
      </c>
      <c r="C181" s="122" t="s">
        <v>19</v>
      </c>
      <c r="D181" s="141" t="s">
        <v>511</v>
      </c>
      <c r="E181" s="141" t="s">
        <v>388</v>
      </c>
      <c r="F181" s="146" t="str">
        <f t="shared" si="2"/>
        <v>144 ro</v>
      </c>
      <c r="G181" s="123">
        <v>144</v>
      </c>
      <c r="H181" s="124">
        <v>18</v>
      </c>
      <c r="I181" s="125" t="s">
        <v>374</v>
      </c>
      <c r="J181" s="126">
        <v>45113</v>
      </c>
      <c r="K181" s="125" t="s">
        <v>374</v>
      </c>
      <c r="L181" s="141"/>
      <c r="M181" s="126">
        <v>45114</v>
      </c>
      <c r="N181" s="125" t="s">
        <v>382</v>
      </c>
      <c r="O181" s="127">
        <v>45117.457118055558</v>
      </c>
      <c r="P181" s="132">
        <v>18.8</v>
      </c>
      <c r="Q181" s="125" t="s">
        <v>376</v>
      </c>
      <c r="R181" s="128">
        <v>0.376</v>
      </c>
      <c r="S181" s="128">
        <v>0.20899999999999999</v>
      </c>
      <c r="T181" s="128">
        <v>1.79</v>
      </c>
      <c r="U181" s="132">
        <v>0.3</v>
      </c>
      <c r="V181" s="125"/>
    </row>
    <row r="182" spans="1:22" ht="14" thickBot="1" x14ac:dyDescent="0.4">
      <c r="A182" s="131" t="s">
        <v>25</v>
      </c>
      <c r="B182" s="122" t="s">
        <v>20</v>
      </c>
      <c r="C182" s="129" t="s">
        <v>121</v>
      </c>
      <c r="D182" s="141" t="s">
        <v>518</v>
      </c>
      <c r="E182" s="141" t="s">
        <v>388</v>
      </c>
      <c r="F182" s="146" t="str">
        <f t="shared" si="2"/>
        <v>1004 ro</v>
      </c>
      <c r="G182" s="123">
        <v>1004</v>
      </c>
      <c r="H182" s="124" t="s">
        <v>515</v>
      </c>
      <c r="I182" s="125" t="s">
        <v>374</v>
      </c>
      <c r="J182" s="126">
        <v>45086</v>
      </c>
      <c r="K182" s="125" t="s">
        <v>374</v>
      </c>
      <c r="L182" s="141"/>
      <c r="M182" s="126">
        <v>45086</v>
      </c>
      <c r="N182" s="125" t="s">
        <v>382</v>
      </c>
      <c r="O182" s="126">
        <v>45086</v>
      </c>
      <c r="P182" s="132">
        <v>31.5</v>
      </c>
      <c r="Q182" s="125" t="s">
        <v>376</v>
      </c>
      <c r="R182" s="128">
        <v>0.629</v>
      </c>
      <c r="S182" s="128">
        <v>0.35499999999999998</v>
      </c>
      <c r="T182" s="128">
        <v>1.77</v>
      </c>
      <c r="U182" s="132">
        <v>7.0000000000000007E-2</v>
      </c>
      <c r="V182" s="125" t="s">
        <v>519</v>
      </c>
    </row>
    <row r="183" spans="1:22" ht="14" thickBot="1" x14ac:dyDescent="0.4">
      <c r="A183" s="131" t="s">
        <v>25</v>
      </c>
      <c r="B183" s="130" t="s">
        <v>39</v>
      </c>
      <c r="C183" s="129" t="s">
        <v>121</v>
      </c>
      <c r="D183" s="141" t="s">
        <v>527</v>
      </c>
      <c r="E183" s="141" t="s">
        <v>388</v>
      </c>
      <c r="F183" s="146" t="str">
        <f t="shared" si="2"/>
        <v>1022 ro</v>
      </c>
      <c r="G183" s="123">
        <v>1022</v>
      </c>
      <c r="H183" s="124" t="s">
        <v>515</v>
      </c>
      <c r="I183" s="125" t="s">
        <v>374</v>
      </c>
      <c r="J183" s="126">
        <v>45086</v>
      </c>
      <c r="K183" s="125" t="s">
        <v>374</v>
      </c>
      <c r="L183" s="141"/>
      <c r="M183" s="126">
        <v>45086</v>
      </c>
      <c r="N183" s="125" t="s">
        <v>382</v>
      </c>
      <c r="O183" s="126">
        <v>45086</v>
      </c>
      <c r="P183" s="132">
        <v>18.7</v>
      </c>
      <c r="Q183" s="125" t="s">
        <v>376</v>
      </c>
      <c r="R183" s="128">
        <v>0.373</v>
      </c>
      <c r="S183" s="128">
        <v>0.219</v>
      </c>
      <c r="T183" s="128">
        <v>1.71</v>
      </c>
      <c r="U183" s="132">
        <v>0.15</v>
      </c>
      <c r="V183" s="125"/>
    </row>
    <row r="184" spans="1:22" ht="14" thickBot="1" x14ac:dyDescent="0.4">
      <c r="A184" s="121" t="s">
        <v>21</v>
      </c>
      <c r="B184" s="122" t="s">
        <v>20</v>
      </c>
      <c r="C184" s="129" t="s">
        <v>121</v>
      </c>
      <c r="D184" s="141" t="s">
        <v>539</v>
      </c>
      <c r="E184" s="141" t="s">
        <v>388</v>
      </c>
      <c r="F184" s="146" t="str">
        <f t="shared" si="2"/>
        <v>1032 ro</v>
      </c>
      <c r="G184" s="123">
        <v>1032</v>
      </c>
      <c r="H184" s="124" t="s">
        <v>515</v>
      </c>
      <c r="I184" s="125" t="s">
        <v>374</v>
      </c>
      <c r="J184" s="126">
        <v>45086</v>
      </c>
      <c r="K184" s="125" t="s">
        <v>374</v>
      </c>
      <c r="L184" s="141"/>
      <c r="M184" s="126">
        <v>45086</v>
      </c>
      <c r="N184" s="125" t="s">
        <v>382</v>
      </c>
      <c r="O184" s="126">
        <v>45086</v>
      </c>
      <c r="P184" s="128">
        <v>87.5</v>
      </c>
      <c r="Q184" s="125" t="s">
        <v>376</v>
      </c>
      <c r="R184" s="128">
        <v>1.75</v>
      </c>
      <c r="S184" s="128">
        <v>0.95599999999999996</v>
      </c>
      <c r="T184" s="128">
        <v>1.8</v>
      </c>
      <c r="U184" s="132">
        <v>0.11</v>
      </c>
      <c r="V184" s="125"/>
    </row>
    <row r="185" spans="1:22" ht="14" thickBot="1" x14ac:dyDescent="0.4">
      <c r="A185" s="121" t="s">
        <v>21</v>
      </c>
      <c r="B185" s="130" t="s">
        <v>39</v>
      </c>
      <c r="C185" s="129" t="s">
        <v>121</v>
      </c>
      <c r="D185" s="141" t="s">
        <v>548</v>
      </c>
      <c r="E185" s="141" t="s">
        <v>388</v>
      </c>
      <c r="F185" s="146" t="str">
        <f t="shared" si="2"/>
        <v>1046 ro</v>
      </c>
      <c r="G185" s="123">
        <v>1046</v>
      </c>
      <c r="H185" s="124" t="s">
        <v>515</v>
      </c>
      <c r="I185" s="125" t="s">
        <v>374</v>
      </c>
      <c r="J185" s="126">
        <v>45086</v>
      </c>
      <c r="K185" s="125" t="s">
        <v>374</v>
      </c>
      <c r="L185" s="141"/>
      <c r="M185" s="126">
        <v>45086</v>
      </c>
      <c r="N185" s="125" t="s">
        <v>382</v>
      </c>
      <c r="O185" s="126">
        <v>45086</v>
      </c>
      <c r="P185" s="132">
        <v>30.4</v>
      </c>
      <c r="Q185" s="125" t="s">
        <v>376</v>
      </c>
      <c r="R185" s="128">
        <v>0.60899999999999999</v>
      </c>
      <c r="S185" s="128">
        <v>0.34899999999999998</v>
      </c>
      <c r="T185" s="128">
        <v>1.75</v>
      </c>
      <c r="U185" s="132">
        <v>0.08</v>
      </c>
      <c r="V185" s="125"/>
    </row>
    <row r="186" spans="1:22" ht="14" thickBot="1" x14ac:dyDescent="0.4">
      <c r="A186" s="121" t="s">
        <v>21</v>
      </c>
      <c r="B186" s="130" t="s">
        <v>39</v>
      </c>
      <c r="C186" s="129" t="s">
        <v>121</v>
      </c>
      <c r="D186" s="141" t="s">
        <v>556</v>
      </c>
      <c r="E186" s="141" t="s">
        <v>388</v>
      </c>
      <c r="F186" s="146" t="str">
        <f t="shared" si="2"/>
        <v>1058 ro</v>
      </c>
      <c r="G186" s="123">
        <v>1058</v>
      </c>
      <c r="H186" s="124">
        <v>15</v>
      </c>
      <c r="I186" s="125" t="s">
        <v>374</v>
      </c>
      <c r="J186" s="126">
        <v>45099</v>
      </c>
      <c r="K186" s="125" t="s">
        <v>374</v>
      </c>
      <c r="L186" s="141"/>
      <c r="M186" s="126">
        <v>45099</v>
      </c>
      <c r="N186" s="125" t="s">
        <v>382</v>
      </c>
      <c r="O186" s="127">
        <v>45100.61074074074</v>
      </c>
      <c r="P186" s="132">
        <v>49.9</v>
      </c>
      <c r="Q186" s="125" t="s">
        <v>376</v>
      </c>
      <c r="R186" s="128">
        <v>0.998</v>
      </c>
      <c r="S186" s="128">
        <v>0.56899999999999995</v>
      </c>
      <c r="T186" s="128">
        <v>1.75</v>
      </c>
      <c r="U186" s="132">
        <v>0.09</v>
      </c>
      <c r="V186" s="125"/>
    </row>
    <row r="187" spans="1:22" ht="14" thickBot="1" x14ac:dyDescent="0.4">
      <c r="A187" s="131" t="s">
        <v>25</v>
      </c>
      <c r="B187" s="130" t="s">
        <v>39</v>
      </c>
      <c r="C187" s="129" t="s">
        <v>121</v>
      </c>
      <c r="D187" s="141" t="s">
        <v>560</v>
      </c>
      <c r="E187" s="141" t="s">
        <v>388</v>
      </c>
      <c r="F187" s="146" t="str">
        <f t="shared" si="2"/>
        <v>1060 ro</v>
      </c>
      <c r="G187" s="123">
        <v>1060</v>
      </c>
      <c r="H187" s="124">
        <v>15</v>
      </c>
      <c r="I187" s="125" t="s">
        <v>374</v>
      </c>
      <c r="J187" s="126">
        <v>45099</v>
      </c>
      <c r="K187" s="125" t="s">
        <v>374</v>
      </c>
      <c r="L187" s="141"/>
      <c r="M187" s="126">
        <v>45099</v>
      </c>
      <c r="N187" s="125" t="s">
        <v>382</v>
      </c>
      <c r="O187" s="127">
        <v>45100.612118055556</v>
      </c>
      <c r="P187" s="132">
        <v>40.799999999999997</v>
      </c>
      <c r="Q187" s="125" t="s">
        <v>376</v>
      </c>
      <c r="R187" s="128">
        <v>0.81699999999999995</v>
      </c>
      <c r="S187" s="128">
        <v>0.45800000000000002</v>
      </c>
      <c r="T187" s="128">
        <v>1.78</v>
      </c>
      <c r="U187" s="132">
        <v>0.13</v>
      </c>
      <c r="V187" s="125"/>
    </row>
    <row r="188" spans="1:22" ht="14" thickBot="1" x14ac:dyDescent="0.4">
      <c r="A188" s="131" t="s">
        <v>25</v>
      </c>
      <c r="B188" s="122" t="s">
        <v>20</v>
      </c>
      <c r="C188" s="129" t="s">
        <v>121</v>
      </c>
      <c r="D188" s="141" t="s">
        <v>564</v>
      </c>
      <c r="E188" s="141" t="s">
        <v>388</v>
      </c>
      <c r="F188" s="146" t="str">
        <f t="shared" si="2"/>
        <v>1064 ro</v>
      </c>
      <c r="G188" s="123">
        <v>1064</v>
      </c>
      <c r="H188" s="124">
        <v>15</v>
      </c>
      <c r="I188" s="125" t="s">
        <v>374</v>
      </c>
      <c r="J188" s="126">
        <v>45099</v>
      </c>
      <c r="K188" s="125" t="s">
        <v>374</v>
      </c>
      <c r="L188" s="141"/>
      <c r="M188" s="126">
        <v>45099</v>
      </c>
      <c r="N188" s="125" t="s">
        <v>382</v>
      </c>
      <c r="O188" s="127">
        <v>45100.613715277781</v>
      </c>
      <c r="P188" s="132">
        <v>21.9</v>
      </c>
      <c r="Q188" s="125" t="s">
        <v>376</v>
      </c>
      <c r="R188" s="128">
        <v>0.439</v>
      </c>
      <c r="S188" s="128">
        <v>0.25800000000000001</v>
      </c>
      <c r="T188" s="128">
        <v>1.7</v>
      </c>
      <c r="U188" s="132">
        <v>7.0000000000000007E-2</v>
      </c>
      <c r="V188" s="125"/>
    </row>
    <row r="189" spans="1:22" ht="14" thickBot="1" x14ac:dyDescent="0.4">
      <c r="A189" s="121" t="s">
        <v>21</v>
      </c>
      <c r="B189" s="122" t="s">
        <v>20</v>
      </c>
      <c r="C189" s="129" t="s">
        <v>121</v>
      </c>
      <c r="D189" s="141" t="s">
        <v>568</v>
      </c>
      <c r="E189" s="141" t="s">
        <v>388</v>
      </c>
      <c r="F189" s="146" t="str">
        <f t="shared" si="2"/>
        <v>1070 ro</v>
      </c>
      <c r="G189" s="123">
        <v>1070</v>
      </c>
      <c r="H189" s="124">
        <v>15</v>
      </c>
      <c r="I189" s="125" t="s">
        <v>374</v>
      </c>
      <c r="J189" s="126">
        <v>45099</v>
      </c>
      <c r="K189" s="125" t="s">
        <v>374</v>
      </c>
      <c r="L189" s="141"/>
      <c r="M189" s="126">
        <v>45099</v>
      </c>
      <c r="N189" s="125" t="s">
        <v>382</v>
      </c>
      <c r="O189" s="127">
        <v>45100.615046296298</v>
      </c>
      <c r="P189" s="132">
        <v>24.6</v>
      </c>
      <c r="Q189" s="125" t="s">
        <v>376</v>
      </c>
      <c r="R189" s="128">
        <v>0.49099999999999999</v>
      </c>
      <c r="S189" s="128">
        <v>0.28599999999999998</v>
      </c>
      <c r="T189" s="128">
        <v>1.72</v>
      </c>
      <c r="U189" s="132">
        <v>0.1</v>
      </c>
      <c r="V189" s="125"/>
    </row>
    <row r="190" spans="1:22" ht="14" thickBot="1" x14ac:dyDescent="0.4">
      <c r="A190" s="121" t="s">
        <v>21</v>
      </c>
      <c r="B190" s="130" t="s">
        <v>39</v>
      </c>
      <c r="C190" s="129" t="s">
        <v>121</v>
      </c>
      <c r="D190" s="141" t="s">
        <v>574</v>
      </c>
      <c r="E190" s="141" t="s">
        <v>388</v>
      </c>
      <c r="F190" s="146" t="str">
        <f t="shared" si="2"/>
        <v>1074 ro</v>
      </c>
      <c r="G190" s="123">
        <v>1074</v>
      </c>
      <c r="H190" s="124">
        <v>16</v>
      </c>
      <c r="I190" s="125" t="s">
        <v>374</v>
      </c>
      <c r="J190" s="126">
        <v>45106</v>
      </c>
      <c r="K190" s="125" t="s">
        <v>374</v>
      </c>
      <c r="L190" s="141"/>
      <c r="M190" s="126">
        <v>45106</v>
      </c>
      <c r="N190" s="125" t="s">
        <v>382</v>
      </c>
      <c r="O190" s="127">
        <v>45107.615393518521</v>
      </c>
      <c r="P190" s="132">
        <v>26</v>
      </c>
      <c r="Q190" s="125" t="s">
        <v>376</v>
      </c>
      <c r="R190" s="128">
        <v>0.52</v>
      </c>
      <c r="S190" s="128">
        <v>0.29699999999999999</v>
      </c>
      <c r="T190" s="128">
        <v>1.75</v>
      </c>
      <c r="U190" s="132">
        <v>0.1</v>
      </c>
      <c r="V190" s="125"/>
    </row>
    <row r="191" spans="1:22" ht="14" thickBot="1" x14ac:dyDescent="0.4">
      <c r="A191" s="121" t="s">
        <v>21</v>
      </c>
      <c r="B191" s="122" t="s">
        <v>20</v>
      </c>
      <c r="C191" s="129" t="s">
        <v>121</v>
      </c>
      <c r="D191" s="141" t="s">
        <v>582</v>
      </c>
      <c r="E191" s="141" t="s">
        <v>388</v>
      </c>
      <c r="F191" s="146" t="str">
        <f t="shared" si="2"/>
        <v>1086 ro</v>
      </c>
      <c r="G191" s="123">
        <v>1086</v>
      </c>
      <c r="H191" s="124">
        <v>16</v>
      </c>
      <c r="I191" s="125" t="s">
        <v>374</v>
      </c>
      <c r="J191" s="126">
        <v>45106</v>
      </c>
      <c r="K191" s="125" t="s">
        <v>374</v>
      </c>
      <c r="L191" s="141"/>
      <c r="M191" s="126">
        <v>45106</v>
      </c>
      <c r="N191" s="125" t="s">
        <v>382</v>
      </c>
      <c r="O191" s="127">
        <v>45107.609386574077</v>
      </c>
      <c r="P191" s="132">
        <v>35.9</v>
      </c>
      <c r="Q191" s="125" t="s">
        <v>376</v>
      </c>
      <c r="R191" s="128">
        <v>0.71799999999999997</v>
      </c>
      <c r="S191" s="128">
        <v>0.42</v>
      </c>
      <c r="T191" s="128">
        <v>1.71</v>
      </c>
      <c r="U191" s="128">
        <v>0.59</v>
      </c>
      <c r="V191" s="125"/>
    </row>
    <row r="192" spans="1:22" ht="14" thickBot="1" x14ac:dyDescent="0.4">
      <c r="A192" s="131" t="s">
        <v>25</v>
      </c>
      <c r="B192" s="130" t="s">
        <v>39</v>
      </c>
      <c r="C192" s="129" t="s">
        <v>121</v>
      </c>
      <c r="D192" s="141" t="s">
        <v>593</v>
      </c>
      <c r="E192" s="141" t="s">
        <v>388</v>
      </c>
      <c r="F192" s="146" t="str">
        <f t="shared" si="2"/>
        <v>1096 ro</v>
      </c>
      <c r="G192" s="123">
        <v>1096</v>
      </c>
      <c r="H192" s="124">
        <v>16</v>
      </c>
      <c r="I192" s="125" t="s">
        <v>374</v>
      </c>
      <c r="J192" s="126">
        <v>45106</v>
      </c>
      <c r="K192" s="125" t="s">
        <v>374</v>
      </c>
      <c r="L192" s="141"/>
      <c r="M192" s="126">
        <v>45106</v>
      </c>
      <c r="N192" s="125" t="s">
        <v>382</v>
      </c>
      <c r="O192" s="127">
        <v>45107.607442129629</v>
      </c>
      <c r="P192" s="132">
        <v>24.7</v>
      </c>
      <c r="Q192" s="125" t="s">
        <v>376</v>
      </c>
      <c r="R192" s="128">
        <v>0.49399999999999999</v>
      </c>
      <c r="S192" s="128">
        <v>0.28299999999999997</v>
      </c>
      <c r="T192" s="128">
        <v>1.74</v>
      </c>
      <c r="U192" s="132">
        <v>0.12</v>
      </c>
      <c r="V192" s="125"/>
    </row>
    <row r="193" spans="1:22" ht="14" thickBot="1" x14ac:dyDescent="0.4">
      <c r="A193" s="121" t="s">
        <v>21</v>
      </c>
      <c r="B193" s="122" t="s">
        <v>20</v>
      </c>
      <c r="C193" s="129" t="s">
        <v>121</v>
      </c>
      <c r="D193" s="141" t="s">
        <v>599</v>
      </c>
      <c r="E193" s="141" t="s">
        <v>388</v>
      </c>
      <c r="F193" s="146" t="str">
        <f t="shared" si="2"/>
        <v>1102 ro</v>
      </c>
      <c r="G193" s="123">
        <v>1102</v>
      </c>
      <c r="H193" s="124">
        <v>17</v>
      </c>
      <c r="I193" s="125" t="s">
        <v>374</v>
      </c>
      <c r="J193" s="126">
        <v>45107</v>
      </c>
      <c r="K193" s="125" t="s">
        <v>374</v>
      </c>
      <c r="L193" s="141"/>
      <c r="M193" s="126">
        <v>45107</v>
      </c>
      <c r="N193" s="125" t="s">
        <v>382</v>
      </c>
      <c r="O193" s="127">
        <v>45107.62027777778</v>
      </c>
      <c r="P193" s="132">
        <v>42</v>
      </c>
      <c r="Q193" s="125" t="s">
        <v>376</v>
      </c>
      <c r="R193" s="128">
        <v>0.83899999999999997</v>
      </c>
      <c r="S193" s="128">
        <v>0.46100000000000002</v>
      </c>
      <c r="T193" s="128">
        <v>1.82</v>
      </c>
      <c r="U193" s="132">
        <v>0.23</v>
      </c>
      <c r="V193" s="125"/>
    </row>
    <row r="194" spans="1:22" ht="14" thickBot="1" x14ac:dyDescent="0.4">
      <c r="A194" s="121" t="s">
        <v>21</v>
      </c>
      <c r="B194" s="130" t="s">
        <v>39</v>
      </c>
      <c r="C194" s="129" t="s">
        <v>121</v>
      </c>
      <c r="D194" s="141" t="s">
        <v>605</v>
      </c>
      <c r="E194" s="141" t="s">
        <v>388</v>
      </c>
      <c r="F194" s="146" t="str">
        <f t="shared" si="2"/>
        <v>1107 ro</v>
      </c>
      <c r="G194" s="123">
        <v>1107</v>
      </c>
      <c r="H194" s="124">
        <v>17</v>
      </c>
      <c r="I194" s="125" t="s">
        <v>374</v>
      </c>
      <c r="J194" s="126">
        <v>45107</v>
      </c>
      <c r="K194" s="125" t="s">
        <v>374</v>
      </c>
      <c r="L194" s="141"/>
      <c r="M194" s="126">
        <v>45107</v>
      </c>
      <c r="N194" s="125" t="s">
        <v>382</v>
      </c>
      <c r="O194" s="127">
        <v>45107.622743055559</v>
      </c>
      <c r="P194" s="132">
        <v>25.9</v>
      </c>
      <c r="Q194" s="125" t="s">
        <v>376</v>
      </c>
      <c r="R194" s="128">
        <v>0.51700000000000002</v>
      </c>
      <c r="S194" s="128">
        <v>0.28399999999999997</v>
      </c>
      <c r="T194" s="128">
        <v>1.82</v>
      </c>
      <c r="U194" s="128">
        <v>0.46</v>
      </c>
      <c r="V194" s="125"/>
    </row>
    <row r="195" spans="1:22" ht="14" thickBot="1" x14ac:dyDescent="0.4">
      <c r="A195" s="121" t="s">
        <v>21</v>
      </c>
      <c r="B195" s="130" t="s">
        <v>39</v>
      </c>
      <c r="C195" s="129" t="s">
        <v>121</v>
      </c>
      <c r="D195" s="141" t="s">
        <v>610</v>
      </c>
      <c r="E195" s="141" t="s">
        <v>388</v>
      </c>
      <c r="F195" s="146" t="str">
        <f t="shared" ref="F195:F242" si="3">G195&amp;" "&amp;IF(E195="bulk_soil","bk",IF(E195="rhizosphere","rh",IF(E195="root_endo","ri",IF(E195="root_ecto","ro",IF(E195="leaf_ecto","lo",IF(E195="leaf_endo","li","error"))))))</f>
        <v>1108 ro</v>
      </c>
      <c r="G195" s="123">
        <v>1108</v>
      </c>
      <c r="H195" s="124">
        <v>18</v>
      </c>
      <c r="I195" s="125" t="s">
        <v>374</v>
      </c>
      <c r="J195" s="126">
        <v>45113</v>
      </c>
      <c r="K195" s="125" t="s">
        <v>374</v>
      </c>
      <c r="L195" s="141"/>
      <c r="M195" s="126">
        <v>45114</v>
      </c>
      <c r="N195" s="125" t="s">
        <v>382</v>
      </c>
      <c r="O195" s="127">
        <v>45117.45884259259</v>
      </c>
      <c r="P195" s="132">
        <v>49.8</v>
      </c>
      <c r="Q195" s="125" t="s">
        <v>376</v>
      </c>
      <c r="R195" s="128">
        <v>0.996</v>
      </c>
      <c r="S195" s="128">
        <v>0.55700000000000005</v>
      </c>
      <c r="T195" s="128">
        <v>1.79</v>
      </c>
      <c r="U195" s="128">
        <v>0.82</v>
      </c>
      <c r="V195" s="125"/>
    </row>
    <row r="196" spans="1:22" ht="14" thickBot="1" x14ac:dyDescent="0.4">
      <c r="A196" s="131" t="s">
        <v>25</v>
      </c>
      <c r="B196" s="130" t="s">
        <v>39</v>
      </c>
      <c r="C196" s="129" t="s">
        <v>121</v>
      </c>
      <c r="D196" s="141" t="s">
        <v>614</v>
      </c>
      <c r="E196" s="141" t="s">
        <v>388</v>
      </c>
      <c r="F196" s="146" t="str">
        <f t="shared" si="3"/>
        <v>1114 ro</v>
      </c>
      <c r="G196" s="123">
        <v>1114</v>
      </c>
      <c r="H196" s="124">
        <v>17</v>
      </c>
      <c r="I196" s="125" t="s">
        <v>374</v>
      </c>
      <c r="J196" s="126">
        <v>45107</v>
      </c>
      <c r="K196" s="125" t="s">
        <v>374</v>
      </c>
      <c r="L196" s="141"/>
      <c r="M196" s="126">
        <v>45107</v>
      </c>
      <c r="N196" s="125" t="s">
        <v>382</v>
      </c>
      <c r="O196" s="127">
        <v>45107.624537037038</v>
      </c>
      <c r="P196" s="132">
        <v>26.9</v>
      </c>
      <c r="Q196" s="125" t="s">
        <v>376</v>
      </c>
      <c r="R196" s="128">
        <v>0.53800000000000003</v>
      </c>
      <c r="S196" s="128">
        <v>0.32200000000000001</v>
      </c>
      <c r="T196" s="128">
        <v>1.67</v>
      </c>
      <c r="U196" s="132">
        <v>0.28999999999999998</v>
      </c>
      <c r="V196" s="125"/>
    </row>
    <row r="197" spans="1:22" ht="14" thickBot="1" x14ac:dyDescent="0.4">
      <c r="A197" s="131" t="s">
        <v>25</v>
      </c>
      <c r="B197" s="122" t="s">
        <v>20</v>
      </c>
      <c r="C197" s="129" t="s">
        <v>121</v>
      </c>
      <c r="D197" s="141" t="s">
        <v>618</v>
      </c>
      <c r="E197" s="141" t="s">
        <v>388</v>
      </c>
      <c r="F197" s="146" t="str">
        <f t="shared" si="3"/>
        <v>1118 ro</v>
      </c>
      <c r="G197" s="123">
        <v>1118</v>
      </c>
      <c r="H197" s="124">
        <v>17</v>
      </c>
      <c r="I197" s="125" t="s">
        <v>374</v>
      </c>
      <c r="J197" s="126">
        <v>45107</v>
      </c>
      <c r="K197" s="125" t="s">
        <v>374</v>
      </c>
      <c r="L197" s="141"/>
      <c r="M197" s="126">
        <v>45107</v>
      </c>
      <c r="N197" s="125" t="s">
        <v>382</v>
      </c>
      <c r="O197" s="127">
        <v>45107.626863425925</v>
      </c>
      <c r="P197" s="132">
        <v>18.399999999999999</v>
      </c>
      <c r="Q197" s="125" t="s">
        <v>376</v>
      </c>
      <c r="R197" s="128">
        <v>0.36699999999999999</v>
      </c>
      <c r="S197" s="128">
        <v>0.21199999999999999</v>
      </c>
      <c r="T197" s="128">
        <v>1.73</v>
      </c>
      <c r="U197" s="132">
        <v>0.24</v>
      </c>
      <c r="V197" s="125"/>
    </row>
    <row r="198" spans="1:22" ht="14" thickBot="1" x14ac:dyDescent="0.4">
      <c r="A198" s="131" t="s">
        <v>25</v>
      </c>
      <c r="B198" s="130" t="s">
        <v>39</v>
      </c>
      <c r="C198" s="129" t="s">
        <v>121</v>
      </c>
      <c r="D198" s="141" t="s">
        <v>624</v>
      </c>
      <c r="E198" s="141" t="s">
        <v>388</v>
      </c>
      <c r="F198" s="146" t="str">
        <f t="shared" si="3"/>
        <v>1124 ro</v>
      </c>
      <c r="G198" s="123">
        <v>1124</v>
      </c>
      <c r="H198" s="124">
        <v>18</v>
      </c>
      <c r="I198" s="125" t="s">
        <v>374</v>
      </c>
      <c r="J198" s="126">
        <v>45113</v>
      </c>
      <c r="K198" s="125" t="s">
        <v>374</v>
      </c>
      <c r="L198" s="141"/>
      <c r="M198" s="126">
        <v>45114</v>
      </c>
      <c r="N198" s="125" t="s">
        <v>382</v>
      </c>
      <c r="O198" s="127">
        <v>45117.460324074076</v>
      </c>
      <c r="P198" s="132">
        <v>14.3</v>
      </c>
      <c r="Q198" s="125" t="s">
        <v>376</v>
      </c>
      <c r="R198" s="128">
        <v>0.28599999999999998</v>
      </c>
      <c r="S198" s="128">
        <v>0.161</v>
      </c>
      <c r="T198" s="128">
        <v>1.78</v>
      </c>
      <c r="U198" s="132">
        <v>0.05</v>
      </c>
      <c r="V198" s="125"/>
    </row>
    <row r="199" spans="1:22" ht="14" thickBot="1" x14ac:dyDescent="0.4">
      <c r="A199" s="131" t="s">
        <v>25</v>
      </c>
      <c r="B199" s="122" t="s">
        <v>20</v>
      </c>
      <c r="C199" s="129" t="s">
        <v>121</v>
      </c>
      <c r="D199" s="141" t="s">
        <v>629</v>
      </c>
      <c r="E199" s="141" t="s">
        <v>388</v>
      </c>
      <c r="F199" s="146" t="str">
        <f t="shared" si="3"/>
        <v>1126 ro</v>
      </c>
      <c r="G199" s="123">
        <v>1126</v>
      </c>
      <c r="H199" s="124">
        <v>18</v>
      </c>
      <c r="I199" s="125" t="s">
        <v>374</v>
      </c>
      <c r="J199" s="126">
        <v>45114</v>
      </c>
      <c r="K199" s="125" t="s">
        <v>374</v>
      </c>
      <c r="L199" s="141"/>
      <c r="M199" s="126">
        <v>45114</v>
      </c>
      <c r="N199" s="125" t="s">
        <v>382</v>
      </c>
      <c r="O199" s="127">
        <v>45117.462002314816</v>
      </c>
      <c r="P199" s="132">
        <v>23.6</v>
      </c>
      <c r="Q199" s="125" t="s">
        <v>376</v>
      </c>
      <c r="R199" s="128">
        <v>0.47299999999999998</v>
      </c>
      <c r="S199" s="128">
        <v>0.27900000000000003</v>
      </c>
      <c r="T199" s="128">
        <v>1.69</v>
      </c>
      <c r="U199" s="128">
        <v>0.41</v>
      </c>
      <c r="V199" s="125"/>
    </row>
    <row r="200" spans="1:22" ht="14" thickBot="1" x14ac:dyDescent="0.4">
      <c r="A200" s="121" t="s">
        <v>21</v>
      </c>
      <c r="B200" s="122" t="s">
        <v>20</v>
      </c>
      <c r="C200" s="129" t="s">
        <v>121</v>
      </c>
      <c r="D200" s="141" t="s">
        <v>636</v>
      </c>
      <c r="E200" s="141" t="s">
        <v>388</v>
      </c>
      <c r="F200" s="146" t="str">
        <f t="shared" si="3"/>
        <v>1134 ro</v>
      </c>
      <c r="G200" s="123">
        <v>1134</v>
      </c>
      <c r="H200" s="124">
        <v>18</v>
      </c>
      <c r="I200" s="125" t="s">
        <v>374</v>
      </c>
      <c r="J200" s="126">
        <v>45114</v>
      </c>
      <c r="K200" s="125" t="s">
        <v>374</v>
      </c>
      <c r="L200" s="141"/>
      <c r="M200" s="126">
        <v>45114</v>
      </c>
      <c r="N200" s="125" t="s">
        <v>382</v>
      </c>
      <c r="O200" s="127">
        <v>45117.463692129626</v>
      </c>
      <c r="P200" s="132">
        <v>21.2</v>
      </c>
      <c r="Q200" s="125" t="s">
        <v>376</v>
      </c>
      <c r="R200" s="128">
        <v>0.42399999999999999</v>
      </c>
      <c r="S200" s="128">
        <v>0.247</v>
      </c>
      <c r="T200" s="128">
        <v>1.72</v>
      </c>
      <c r="U200" s="128">
        <v>0.48</v>
      </c>
      <c r="V200" s="125"/>
    </row>
    <row r="201" spans="1:22" ht="14" thickBot="1" x14ac:dyDescent="0.4">
      <c r="A201" s="131" t="s">
        <v>25</v>
      </c>
      <c r="B201" s="122" t="s">
        <v>20</v>
      </c>
      <c r="C201" s="129" t="s">
        <v>121</v>
      </c>
      <c r="D201" s="141" t="s">
        <v>640</v>
      </c>
      <c r="E201" s="141" t="s">
        <v>388</v>
      </c>
      <c r="F201" s="146" t="str">
        <f t="shared" si="3"/>
        <v>1144 ro</v>
      </c>
      <c r="G201" s="123">
        <v>1144</v>
      </c>
      <c r="H201" s="124">
        <v>19</v>
      </c>
      <c r="I201" s="125" t="s">
        <v>374</v>
      </c>
      <c r="J201" s="126">
        <v>45114</v>
      </c>
      <c r="K201" s="125" t="s">
        <v>374</v>
      </c>
      <c r="L201" s="141"/>
      <c r="M201" s="126">
        <v>45114</v>
      </c>
      <c r="N201" s="125" t="s">
        <v>382</v>
      </c>
      <c r="O201" s="127">
        <v>45117.469317129631</v>
      </c>
      <c r="P201" s="132">
        <v>13.4</v>
      </c>
      <c r="Q201" s="125" t="s">
        <v>376</v>
      </c>
      <c r="R201" s="128">
        <v>0.26700000000000002</v>
      </c>
      <c r="S201" s="128">
        <v>0.153</v>
      </c>
      <c r="T201" s="128">
        <v>1.74</v>
      </c>
      <c r="U201" s="128">
        <v>0.67</v>
      </c>
      <c r="V201" s="125"/>
    </row>
    <row r="202" spans="1:22" ht="14" thickBot="1" x14ac:dyDescent="0.4">
      <c r="A202" s="131" t="s">
        <v>25</v>
      </c>
      <c r="B202" s="130" t="s">
        <v>39</v>
      </c>
      <c r="C202" s="122" t="s">
        <v>19</v>
      </c>
      <c r="D202" s="141" t="s">
        <v>389</v>
      </c>
      <c r="E202" s="141" t="s">
        <v>390</v>
      </c>
      <c r="F202" s="146" t="str">
        <f t="shared" si="3"/>
        <v>22 ri</v>
      </c>
      <c r="G202" s="134">
        <v>22</v>
      </c>
      <c r="H202" s="135">
        <v>9</v>
      </c>
      <c r="I202" s="136" t="s">
        <v>374</v>
      </c>
      <c r="J202" s="137">
        <v>45033</v>
      </c>
      <c r="K202" s="136" t="s">
        <v>374</v>
      </c>
      <c r="L202" s="141"/>
      <c r="M202" s="137">
        <v>45040</v>
      </c>
      <c r="N202" s="136" t="s">
        <v>386</v>
      </c>
      <c r="O202" s="138">
        <v>45040.832083333335</v>
      </c>
      <c r="P202" s="132">
        <v>37</v>
      </c>
      <c r="Q202" s="136" t="s">
        <v>376</v>
      </c>
      <c r="R202" s="139">
        <v>0.74099999999999999</v>
      </c>
      <c r="S202" s="139">
        <v>0.45100000000000001</v>
      </c>
      <c r="T202" s="139">
        <v>1.64</v>
      </c>
      <c r="U202" s="139">
        <v>0.6</v>
      </c>
      <c r="V202" s="136"/>
    </row>
    <row r="203" spans="1:22" ht="14" thickBot="1" x14ac:dyDescent="0.4">
      <c r="A203" s="121" t="s">
        <v>21</v>
      </c>
      <c r="B203" s="122" t="s">
        <v>20</v>
      </c>
      <c r="C203" s="122" t="s">
        <v>19</v>
      </c>
      <c r="D203" s="141" t="s">
        <v>401</v>
      </c>
      <c r="E203" s="141" t="s">
        <v>390</v>
      </c>
      <c r="F203" s="146" t="str">
        <f t="shared" si="3"/>
        <v>32 ri</v>
      </c>
      <c r="G203" s="134">
        <v>32</v>
      </c>
      <c r="H203" s="135">
        <v>9</v>
      </c>
      <c r="I203" s="136" t="s">
        <v>374</v>
      </c>
      <c r="J203" s="137">
        <v>45022</v>
      </c>
      <c r="K203" s="136" t="s">
        <v>374</v>
      </c>
      <c r="L203" s="141"/>
      <c r="M203" s="137">
        <v>45040</v>
      </c>
      <c r="N203" s="136" t="s">
        <v>386</v>
      </c>
      <c r="O203" s="138">
        <v>45040.834282407406</v>
      </c>
      <c r="P203" s="132">
        <v>23.8</v>
      </c>
      <c r="Q203" s="136" t="s">
        <v>376</v>
      </c>
      <c r="R203" s="139">
        <v>0.47599999999999998</v>
      </c>
      <c r="S203" s="139">
        <v>0.28100000000000003</v>
      </c>
      <c r="T203" s="139">
        <v>1.69</v>
      </c>
      <c r="U203" s="132">
        <v>0.3</v>
      </c>
      <c r="V203" s="136"/>
    </row>
    <row r="204" spans="1:22" ht="14" thickBot="1" x14ac:dyDescent="0.4">
      <c r="A204" s="131" t="s">
        <v>25</v>
      </c>
      <c r="B204" s="122" t="s">
        <v>20</v>
      </c>
      <c r="C204" s="122" t="s">
        <v>19</v>
      </c>
      <c r="D204" s="141" t="s">
        <v>407</v>
      </c>
      <c r="E204" s="141" t="s">
        <v>390</v>
      </c>
      <c r="F204" s="146" t="str">
        <f t="shared" si="3"/>
        <v>36 ri</v>
      </c>
      <c r="G204" s="134">
        <v>36</v>
      </c>
      <c r="H204" s="135">
        <v>9</v>
      </c>
      <c r="I204" s="136" t="s">
        <v>374</v>
      </c>
      <c r="J204" s="137">
        <v>45027</v>
      </c>
      <c r="K204" s="136" t="s">
        <v>374</v>
      </c>
      <c r="L204" s="141"/>
      <c r="M204" s="137">
        <v>45040</v>
      </c>
      <c r="N204" s="136" t="s">
        <v>386</v>
      </c>
      <c r="O204" s="138">
        <v>45040.835902777777</v>
      </c>
      <c r="P204" s="132">
        <v>22.4</v>
      </c>
      <c r="Q204" s="136" t="s">
        <v>376</v>
      </c>
      <c r="R204" s="139">
        <v>0.44800000000000001</v>
      </c>
      <c r="S204" s="139">
        <v>0.252</v>
      </c>
      <c r="T204" s="139">
        <v>1.78</v>
      </c>
      <c r="U204" s="132">
        <v>0.13</v>
      </c>
      <c r="V204" s="136"/>
    </row>
    <row r="205" spans="1:22" ht="14" thickBot="1" x14ac:dyDescent="0.4">
      <c r="A205" s="121" t="s">
        <v>21</v>
      </c>
      <c r="B205" s="130" t="s">
        <v>39</v>
      </c>
      <c r="C205" s="122" t="s">
        <v>19</v>
      </c>
      <c r="D205" s="141" t="s">
        <v>415</v>
      </c>
      <c r="E205" s="141" t="s">
        <v>390</v>
      </c>
      <c r="F205" s="146" t="str">
        <f t="shared" si="3"/>
        <v>50 ri</v>
      </c>
      <c r="G205" s="134">
        <v>50</v>
      </c>
      <c r="H205" s="135">
        <v>9</v>
      </c>
      <c r="I205" s="136" t="s">
        <v>374</v>
      </c>
      <c r="J205" s="137">
        <v>45035</v>
      </c>
      <c r="K205" s="136" t="s">
        <v>374</v>
      </c>
      <c r="L205" s="141"/>
      <c r="M205" s="137">
        <v>45040</v>
      </c>
      <c r="N205" s="136" t="s">
        <v>386</v>
      </c>
      <c r="O205" s="138">
        <v>45040.837187500001</v>
      </c>
      <c r="P205" s="132">
        <v>47.8</v>
      </c>
      <c r="Q205" s="136" t="s">
        <v>376</v>
      </c>
      <c r="R205" s="139">
        <v>0.95499999999999996</v>
      </c>
      <c r="S205" s="139">
        <v>0.56399999999999995</v>
      </c>
      <c r="T205" s="139">
        <v>1.69</v>
      </c>
      <c r="U205" s="139">
        <v>1.21</v>
      </c>
      <c r="V205" s="136"/>
    </row>
    <row r="206" spans="1:22" ht="14" thickBot="1" x14ac:dyDescent="0.4">
      <c r="A206" s="131" t="s">
        <v>25</v>
      </c>
      <c r="B206" s="130" t="s">
        <v>39</v>
      </c>
      <c r="C206" s="122" t="s">
        <v>19</v>
      </c>
      <c r="D206" s="141" t="s">
        <v>422</v>
      </c>
      <c r="E206" s="141" t="s">
        <v>390</v>
      </c>
      <c r="F206" s="146" t="str">
        <f t="shared" si="3"/>
        <v>60 ri</v>
      </c>
      <c r="G206" s="134">
        <v>60</v>
      </c>
      <c r="H206" s="135">
        <v>8</v>
      </c>
      <c r="I206" s="136" t="s">
        <v>374</v>
      </c>
      <c r="J206" s="137">
        <v>45027</v>
      </c>
      <c r="K206" s="136" t="s">
        <v>374</v>
      </c>
      <c r="L206" s="141"/>
      <c r="M206" s="137">
        <v>45078</v>
      </c>
      <c r="N206" s="136" t="s">
        <v>420</v>
      </c>
      <c r="O206" s="138">
        <v>45079.468553240738</v>
      </c>
      <c r="P206" s="132">
        <v>41.4</v>
      </c>
      <c r="Q206" s="136" t="s">
        <v>376</v>
      </c>
      <c r="R206" s="139">
        <v>0.82699999999999996</v>
      </c>
      <c r="S206" s="139">
        <v>0.499</v>
      </c>
      <c r="T206" s="139">
        <v>1.66</v>
      </c>
      <c r="U206" s="139">
        <v>0.77</v>
      </c>
      <c r="V206" s="136"/>
    </row>
    <row r="207" spans="1:22" ht="14" thickBot="1" x14ac:dyDescent="0.4">
      <c r="A207" s="121" t="s">
        <v>21</v>
      </c>
      <c r="B207" s="122" t="s">
        <v>20</v>
      </c>
      <c r="C207" s="122" t="s">
        <v>19</v>
      </c>
      <c r="D207" s="141" t="s">
        <v>429</v>
      </c>
      <c r="E207" s="141" t="s">
        <v>390</v>
      </c>
      <c r="F207" s="146" t="str">
        <f t="shared" si="3"/>
        <v>70 ri</v>
      </c>
      <c r="G207" s="134">
        <v>70</v>
      </c>
      <c r="H207" s="135">
        <v>10</v>
      </c>
      <c r="I207" s="136" t="s">
        <v>374</v>
      </c>
      <c r="J207" s="137">
        <v>45019</v>
      </c>
      <c r="K207" s="136" t="s">
        <v>374</v>
      </c>
      <c r="L207" s="141"/>
      <c r="M207" s="137">
        <v>45057</v>
      </c>
      <c r="N207" s="136" t="s">
        <v>427</v>
      </c>
      <c r="O207" s="138">
        <v>45057.672812500001</v>
      </c>
      <c r="P207" s="132">
        <v>17</v>
      </c>
      <c r="Q207" s="136" t="s">
        <v>376</v>
      </c>
      <c r="R207" s="139">
        <v>0.34</v>
      </c>
      <c r="S207" s="139">
        <v>0.22</v>
      </c>
      <c r="T207" s="139">
        <v>1.55</v>
      </c>
      <c r="U207" s="132">
        <v>0.23</v>
      </c>
      <c r="V207" s="136"/>
    </row>
    <row r="208" spans="1:22" ht="14" thickBot="1" x14ac:dyDescent="0.4">
      <c r="A208" s="121" t="s">
        <v>21</v>
      </c>
      <c r="B208" s="130" t="s">
        <v>39</v>
      </c>
      <c r="C208" s="122" t="s">
        <v>19</v>
      </c>
      <c r="D208" s="141" t="s">
        <v>435</v>
      </c>
      <c r="E208" s="141" t="s">
        <v>390</v>
      </c>
      <c r="F208" s="146" t="str">
        <f t="shared" si="3"/>
        <v>74 ri</v>
      </c>
      <c r="G208" s="134">
        <v>74</v>
      </c>
      <c r="H208" s="135">
        <v>10</v>
      </c>
      <c r="I208" s="136" t="s">
        <v>374</v>
      </c>
      <c r="J208" s="137">
        <v>45035</v>
      </c>
      <c r="K208" s="136" t="s">
        <v>374</v>
      </c>
      <c r="L208" s="141"/>
      <c r="M208" s="137">
        <v>45057</v>
      </c>
      <c r="N208" s="136" t="s">
        <v>427</v>
      </c>
      <c r="O208" s="138">
        <v>45057.675520833334</v>
      </c>
      <c r="P208" s="132">
        <v>29.1</v>
      </c>
      <c r="Q208" s="136" t="s">
        <v>376</v>
      </c>
      <c r="R208" s="139">
        <v>0.58199999999999996</v>
      </c>
      <c r="S208" s="139">
        <v>0.34</v>
      </c>
      <c r="T208" s="139">
        <v>1.71</v>
      </c>
      <c r="U208" s="132">
        <v>0.24</v>
      </c>
      <c r="V208" s="136"/>
    </row>
    <row r="209" spans="1:22" ht="14" thickBot="1" x14ac:dyDescent="0.4">
      <c r="A209" s="131" t="s">
        <v>25</v>
      </c>
      <c r="B209" s="130" t="s">
        <v>39</v>
      </c>
      <c r="C209" s="122" t="s">
        <v>19</v>
      </c>
      <c r="D209" s="141" t="s">
        <v>439</v>
      </c>
      <c r="E209" s="141" t="s">
        <v>390</v>
      </c>
      <c r="F209" s="146" t="str">
        <f t="shared" si="3"/>
        <v>78 ri</v>
      </c>
      <c r="G209" s="134">
        <v>78</v>
      </c>
      <c r="H209" s="135">
        <v>12</v>
      </c>
      <c r="I209" s="136" t="s">
        <v>374</v>
      </c>
      <c r="J209" s="137">
        <v>45022</v>
      </c>
      <c r="K209" s="136" t="s">
        <v>374</v>
      </c>
      <c r="L209" s="141"/>
      <c r="M209" s="137">
        <v>45063</v>
      </c>
      <c r="N209" s="136" t="s">
        <v>392</v>
      </c>
      <c r="O209" s="138">
        <v>45063.633356481485</v>
      </c>
      <c r="P209" s="132">
        <v>21</v>
      </c>
      <c r="Q209" s="136" t="s">
        <v>376</v>
      </c>
      <c r="R209" s="139">
        <v>0.42</v>
      </c>
      <c r="S209" s="139">
        <v>0.23699999999999999</v>
      </c>
      <c r="T209" s="139">
        <v>1.77</v>
      </c>
      <c r="U209" s="132">
        <v>0.14000000000000001</v>
      </c>
      <c r="V209" s="136"/>
    </row>
    <row r="210" spans="1:22" ht="14" thickBot="1" x14ac:dyDescent="0.4">
      <c r="A210" s="121" t="s">
        <v>21</v>
      </c>
      <c r="B210" s="130" t="s">
        <v>39</v>
      </c>
      <c r="C210" s="122" t="s">
        <v>19</v>
      </c>
      <c r="D210" s="141" t="s">
        <v>443</v>
      </c>
      <c r="E210" s="141" t="s">
        <v>390</v>
      </c>
      <c r="F210" s="146" t="str">
        <f t="shared" si="3"/>
        <v>82 ri</v>
      </c>
      <c r="G210" s="134">
        <v>82</v>
      </c>
      <c r="H210" s="135">
        <v>11</v>
      </c>
      <c r="I210" s="136" t="s">
        <v>374</v>
      </c>
      <c r="J210" s="137">
        <v>45037</v>
      </c>
      <c r="K210" s="136" t="s">
        <v>374</v>
      </c>
      <c r="L210" s="141"/>
      <c r="M210" s="137">
        <v>45058</v>
      </c>
      <c r="N210" s="136" t="s">
        <v>392</v>
      </c>
      <c r="O210" s="138">
        <v>45058.536527777775</v>
      </c>
      <c r="P210" s="132">
        <v>34.299999999999997</v>
      </c>
      <c r="Q210" s="136" t="s">
        <v>376</v>
      </c>
      <c r="R210" s="139">
        <v>0.68700000000000006</v>
      </c>
      <c r="S210" s="139">
        <v>0.39600000000000002</v>
      </c>
      <c r="T210" s="139">
        <v>1.73</v>
      </c>
      <c r="U210" s="139">
        <v>0.79</v>
      </c>
      <c r="V210" s="136"/>
    </row>
    <row r="211" spans="1:22" ht="14" thickBot="1" x14ac:dyDescent="0.4">
      <c r="A211" s="121" t="s">
        <v>21</v>
      </c>
      <c r="B211" s="122" t="s">
        <v>20</v>
      </c>
      <c r="C211" s="122" t="s">
        <v>19</v>
      </c>
      <c r="D211" s="141" t="s">
        <v>449</v>
      </c>
      <c r="E211" s="141" t="s">
        <v>390</v>
      </c>
      <c r="F211" s="146" t="str">
        <f t="shared" si="3"/>
        <v>86 ri</v>
      </c>
      <c r="G211" s="134">
        <v>86</v>
      </c>
      <c r="H211" s="135">
        <v>11</v>
      </c>
      <c r="I211" s="136" t="s">
        <v>374</v>
      </c>
      <c r="J211" s="137">
        <v>45022</v>
      </c>
      <c r="K211" s="136" t="s">
        <v>374</v>
      </c>
      <c r="L211" s="141"/>
      <c r="M211" s="137">
        <v>45058</v>
      </c>
      <c r="N211" s="136" t="s">
        <v>392</v>
      </c>
      <c r="O211" s="138">
        <v>45058.537407407406</v>
      </c>
      <c r="P211" s="132">
        <v>18.8</v>
      </c>
      <c r="Q211" s="136" t="s">
        <v>376</v>
      </c>
      <c r="R211" s="139">
        <v>0.376</v>
      </c>
      <c r="S211" s="139">
        <v>0.22500000000000001</v>
      </c>
      <c r="T211" s="139">
        <v>1.67</v>
      </c>
      <c r="U211" s="139">
        <v>0.83</v>
      </c>
      <c r="V211" s="136"/>
    </row>
    <row r="212" spans="1:22" ht="14" thickBot="1" x14ac:dyDescent="0.4">
      <c r="A212" s="131" t="s">
        <v>25</v>
      </c>
      <c r="B212" s="122" t="s">
        <v>20</v>
      </c>
      <c r="C212" s="122" t="s">
        <v>19</v>
      </c>
      <c r="D212" s="141" t="s">
        <v>453</v>
      </c>
      <c r="E212" s="141" t="s">
        <v>390</v>
      </c>
      <c r="F212" s="146" t="str">
        <f t="shared" si="3"/>
        <v>90 ri</v>
      </c>
      <c r="G212" s="134">
        <v>90</v>
      </c>
      <c r="H212" s="135">
        <v>10</v>
      </c>
      <c r="I212" s="136" t="s">
        <v>374</v>
      </c>
      <c r="J212" s="137">
        <v>45022</v>
      </c>
      <c r="K212" s="136" t="s">
        <v>374</v>
      </c>
      <c r="L212" s="141"/>
      <c r="M212" s="137">
        <v>45057</v>
      </c>
      <c r="N212" s="136" t="s">
        <v>427</v>
      </c>
      <c r="O212" s="138">
        <v>45057.679456018515</v>
      </c>
      <c r="P212" s="132">
        <v>14</v>
      </c>
      <c r="Q212" s="136" t="s">
        <v>376</v>
      </c>
      <c r="R212" s="139">
        <v>0.27900000000000003</v>
      </c>
      <c r="S212" s="139">
        <v>0.17499999999999999</v>
      </c>
      <c r="T212" s="139">
        <v>1.6</v>
      </c>
      <c r="U212" s="139">
        <v>0.49</v>
      </c>
      <c r="V212" s="136"/>
    </row>
    <row r="213" spans="1:22" ht="14" thickBot="1" x14ac:dyDescent="0.4">
      <c r="A213" s="131" t="s">
        <v>25</v>
      </c>
      <c r="B213" s="130" t="s">
        <v>39</v>
      </c>
      <c r="C213" s="122" t="s">
        <v>19</v>
      </c>
      <c r="D213" s="141" t="s">
        <v>459</v>
      </c>
      <c r="E213" s="141" t="s">
        <v>390</v>
      </c>
      <c r="F213" s="146" t="str">
        <f t="shared" si="3"/>
        <v>96 ri</v>
      </c>
      <c r="G213" s="134">
        <v>96</v>
      </c>
      <c r="H213" s="135">
        <v>13</v>
      </c>
      <c r="I213" s="136" t="s">
        <v>374</v>
      </c>
      <c r="J213" s="137">
        <v>45022</v>
      </c>
      <c r="K213" s="136" t="s">
        <v>374</v>
      </c>
      <c r="L213" s="141"/>
      <c r="M213" s="137">
        <v>45061</v>
      </c>
      <c r="N213" s="136" t="s">
        <v>427</v>
      </c>
      <c r="O213" s="138">
        <v>45061.63175925926</v>
      </c>
      <c r="P213" s="139">
        <v>150.9</v>
      </c>
      <c r="Q213" s="136" t="s">
        <v>376</v>
      </c>
      <c r="R213" s="139">
        <v>3.0179999999999998</v>
      </c>
      <c r="S213" s="139">
        <v>1.619</v>
      </c>
      <c r="T213" s="139">
        <v>1.86</v>
      </c>
      <c r="U213" s="139">
        <v>1.69</v>
      </c>
      <c r="V213" s="136"/>
    </row>
    <row r="214" spans="1:22" ht="14" thickBot="1" x14ac:dyDescent="0.4">
      <c r="A214" s="121" t="s">
        <v>21</v>
      </c>
      <c r="B214" s="122" t="s">
        <v>20</v>
      </c>
      <c r="C214" s="122" t="s">
        <v>19</v>
      </c>
      <c r="D214" s="141" t="s">
        <v>465</v>
      </c>
      <c r="E214" s="141" t="s">
        <v>390</v>
      </c>
      <c r="F214" s="146" t="str">
        <f t="shared" si="3"/>
        <v>102 ri</v>
      </c>
      <c r="G214" s="134">
        <v>102</v>
      </c>
      <c r="H214" s="135">
        <v>12</v>
      </c>
      <c r="I214" s="136" t="s">
        <v>374</v>
      </c>
      <c r="J214" s="137">
        <v>45016</v>
      </c>
      <c r="K214" s="136" t="s">
        <v>374</v>
      </c>
      <c r="L214" s="141"/>
      <c r="M214" s="137">
        <v>45063</v>
      </c>
      <c r="N214" s="136" t="s">
        <v>392</v>
      </c>
      <c r="O214" s="138">
        <v>45063.634560185186</v>
      </c>
      <c r="P214" s="132">
        <v>19.2</v>
      </c>
      <c r="Q214" s="136" t="s">
        <v>376</v>
      </c>
      <c r="R214" s="139">
        <v>0.38300000000000001</v>
      </c>
      <c r="S214" s="139">
        <v>0.218</v>
      </c>
      <c r="T214" s="139">
        <v>1.76</v>
      </c>
      <c r="U214" s="139">
        <v>0.54</v>
      </c>
      <c r="V214" s="140" t="s">
        <v>466</v>
      </c>
    </row>
    <row r="215" spans="1:22" ht="14" thickBot="1" x14ac:dyDescent="0.4">
      <c r="A215" s="121" t="s">
        <v>21</v>
      </c>
      <c r="B215" s="130" t="s">
        <v>39</v>
      </c>
      <c r="C215" s="122" t="s">
        <v>19</v>
      </c>
      <c r="D215" s="141" t="s">
        <v>474</v>
      </c>
      <c r="E215" s="141" t="s">
        <v>390</v>
      </c>
      <c r="F215" s="146" t="str">
        <f t="shared" si="3"/>
        <v>108 ri</v>
      </c>
      <c r="G215" s="134">
        <v>108</v>
      </c>
      <c r="H215" s="135">
        <v>12</v>
      </c>
      <c r="I215" s="136" t="s">
        <v>374</v>
      </c>
      <c r="J215" s="137">
        <v>45037</v>
      </c>
      <c r="K215" s="136" t="s">
        <v>374</v>
      </c>
      <c r="L215" s="141"/>
      <c r="M215" s="137">
        <v>45063</v>
      </c>
      <c r="N215" s="136" t="s">
        <v>392</v>
      </c>
      <c r="O215" s="138">
        <v>45063.635370370372</v>
      </c>
      <c r="P215" s="132">
        <v>30</v>
      </c>
      <c r="Q215" s="136" t="s">
        <v>376</v>
      </c>
      <c r="R215" s="139">
        <v>0.59899999999999998</v>
      </c>
      <c r="S215" s="139">
        <v>0.34</v>
      </c>
      <c r="T215" s="139">
        <v>1.76</v>
      </c>
      <c r="U215" s="139">
        <v>0.91</v>
      </c>
      <c r="V215" s="136"/>
    </row>
    <row r="216" spans="1:22" ht="14" thickBot="1" x14ac:dyDescent="0.4">
      <c r="A216" s="131" t="s">
        <v>25</v>
      </c>
      <c r="B216" s="122" t="s">
        <v>20</v>
      </c>
      <c r="C216" s="122" t="s">
        <v>19</v>
      </c>
      <c r="D216" s="141" t="s">
        <v>480</v>
      </c>
      <c r="E216" s="141" t="s">
        <v>390</v>
      </c>
      <c r="F216" s="146" t="str">
        <f t="shared" si="3"/>
        <v>118 ri</v>
      </c>
      <c r="G216" s="134">
        <v>118</v>
      </c>
      <c r="H216" s="135">
        <v>11</v>
      </c>
      <c r="I216" s="136" t="s">
        <v>374</v>
      </c>
      <c r="J216" s="137">
        <v>45019</v>
      </c>
      <c r="K216" s="136" t="s">
        <v>374</v>
      </c>
      <c r="L216" s="141"/>
      <c r="M216" s="137">
        <v>45058</v>
      </c>
      <c r="N216" s="136" t="s">
        <v>392</v>
      </c>
      <c r="O216" s="138">
        <v>45058.538275462961</v>
      </c>
      <c r="P216" s="132">
        <v>25</v>
      </c>
      <c r="Q216" s="136" t="s">
        <v>376</v>
      </c>
      <c r="R216" s="139">
        <v>0.5</v>
      </c>
      <c r="S216" s="139">
        <v>0.311</v>
      </c>
      <c r="T216" s="139">
        <v>1.61</v>
      </c>
      <c r="U216" s="139">
        <v>0.79</v>
      </c>
      <c r="V216" s="136"/>
    </row>
    <row r="217" spans="1:22" ht="14" thickBot="1" x14ac:dyDescent="0.4">
      <c r="A217" s="121" t="s">
        <v>21</v>
      </c>
      <c r="B217" s="122" t="s">
        <v>20</v>
      </c>
      <c r="C217" s="122" t="s">
        <v>19</v>
      </c>
      <c r="D217" s="141" t="s">
        <v>484</v>
      </c>
      <c r="E217" s="141" t="s">
        <v>390</v>
      </c>
      <c r="F217" s="146" t="str">
        <f t="shared" si="3"/>
        <v>122 ri</v>
      </c>
      <c r="G217" s="134">
        <v>122</v>
      </c>
      <c r="H217" s="135">
        <v>13</v>
      </c>
      <c r="I217" s="136" t="s">
        <v>374</v>
      </c>
      <c r="J217" s="137">
        <v>45016</v>
      </c>
      <c r="K217" s="136" t="s">
        <v>374</v>
      </c>
      <c r="L217" s="141"/>
      <c r="M217" s="137">
        <v>45061</v>
      </c>
      <c r="N217" s="136" t="s">
        <v>427</v>
      </c>
      <c r="O217" s="138">
        <v>45061.634236111109</v>
      </c>
      <c r="P217" s="139">
        <v>106.2</v>
      </c>
      <c r="Q217" s="136" t="s">
        <v>376</v>
      </c>
      <c r="R217" s="139">
        <v>2.1230000000000002</v>
      </c>
      <c r="S217" s="139">
        <v>1.1279999999999999</v>
      </c>
      <c r="T217" s="139">
        <v>1.88</v>
      </c>
      <c r="U217" s="139">
        <v>1.57</v>
      </c>
      <c r="V217" s="136"/>
    </row>
    <row r="218" spans="1:22" ht="14" thickBot="1" x14ac:dyDescent="0.4">
      <c r="A218" s="131" t="s">
        <v>25</v>
      </c>
      <c r="B218" s="130" t="s">
        <v>39</v>
      </c>
      <c r="C218" s="122" t="s">
        <v>19</v>
      </c>
      <c r="D218" s="141" t="s">
        <v>488</v>
      </c>
      <c r="E218" s="141" t="s">
        <v>390</v>
      </c>
      <c r="F218" s="146" t="str">
        <f t="shared" si="3"/>
        <v>124 ri</v>
      </c>
      <c r="G218" s="134">
        <v>124</v>
      </c>
      <c r="H218" s="135">
        <v>8</v>
      </c>
      <c r="I218" s="136" t="s">
        <v>374</v>
      </c>
      <c r="J218" s="137">
        <v>45006</v>
      </c>
      <c r="K218" s="136" t="s">
        <v>374</v>
      </c>
      <c r="L218" s="141"/>
      <c r="M218" s="137">
        <v>45078</v>
      </c>
      <c r="N218" s="136" t="s">
        <v>420</v>
      </c>
      <c r="O218" s="138">
        <v>45079.461504629631</v>
      </c>
      <c r="P218" s="132">
        <v>33.200000000000003</v>
      </c>
      <c r="Q218" s="136" t="s">
        <v>376</v>
      </c>
      <c r="R218" s="139">
        <v>0.66400000000000003</v>
      </c>
      <c r="S218" s="139">
        <v>0.40100000000000002</v>
      </c>
      <c r="T218" s="139">
        <v>1.66</v>
      </c>
      <c r="U218" s="139">
        <v>0.5</v>
      </c>
      <c r="V218" s="136"/>
    </row>
    <row r="219" spans="1:22" ht="14" thickBot="1" x14ac:dyDescent="0.4">
      <c r="A219" s="131" t="s">
        <v>25</v>
      </c>
      <c r="B219" s="122" t="s">
        <v>20</v>
      </c>
      <c r="C219" s="122" t="s">
        <v>19</v>
      </c>
      <c r="D219" s="141" t="s">
        <v>493</v>
      </c>
      <c r="E219" s="141" t="s">
        <v>390</v>
      </c>
      <c r="F219" s="146" t="str">
        <f t="shared" si="3"/>
        <v>126 ri</v>
      </c>
      <c r="G219" s="134">
        <v>126</v>
      </c>
      <c r="H219" s="135">
        <v>12</v>
      </c>
      <c r="I219" s="136" t="s">
        <v>374</v>
      </c>
      <c r="J219" s="137">
        <v>45013</v>
      </c>
      <c r="K219" s="136" t="s">
        <v>374</v>
      </c>
      <c r="L219" s="141"/>
      <c r="M219" s="137">
        <v>45063</v>
      </c>
      <c r="N219" s="136" t="s">
        <v>392</v>
      </c>
      <c r="O219" s="138">
        <v>45063.636157407411</v>
      </c>
      <c r="P219" s="132">
        <v>17.3</v>
      </c>
      <c r="Q219" s="136" t="s">
        <v>376</v>
      </c>
      <c r="R219" s="139">
        <v>0.34599999999999997</v>
      </c>
      <c r="S219" s="139">
        <v>0.19700000000000001</v>
      </c>
      <c r="T219" s="139">
        <v>1.76</v>
      </c>
      <c r="U219" s="139">
        <v>0.94</v>
      </c>
      <c r="V219" s="136"/>
    </row>
    <row r="220" spans="1:22" ht="14" thickBot="1" x14ac:dyDescent="0.4">
      <c r="A220" s="121" t="s">
        <v>21</v>
      </c>
      <c r="B220" s="130" t="s">
        <v>39</v>
      </c>
      <c r="C220" s="122" t="s">
        <v>19</v>
      </c>
      <c r="D220" s="141" t="s">
        <v>501</v>
      </c>
      <c r="E220" s="141" t="s">
        <v>390</v>
      </c>
      <c r="F220" s="146" t="str">
        <f t="shared" si="3"/>
        <v>130 ri</v>
      </c>
      <c r="G220" s="134">
        <v>130</v>
      </c>
      <c r="H220" s="135">
        <v>13</v>
      </c>
      <c r="I220" s="136" t="s">
        <v>374</v>
      </c>
      <c r="J220" s="137">
        <v>45037</v>
      </c>
      <c r="K220" s="136" t="s">
        <v>374</v>
      </c>
      <c r="L220" s="141"/>
      <c r="M220" s="137">
        <v>45061</v>
      </c>
      <c r="N220" s="136" t="s">
        <v>427</v>
      </c>
      <c r="O220" s="138">
        <v>45061.636944444443</v>
      </c>
      <c r="P220" s="139">
        <v>205</v>
      </c>
      <c r="Q220" s="136" t="s">
        <v>376</v>
      </c>
      <c r="R220" s="139">
        <v>4.0990000000000002</v>
      </c>
      <c r="S220" s="139">
        <v>2.2170000000000001</v>
      </c>
      <c r="T220" s="139">
        <v>1.85</v>
      </c>
      <c r="U220" s="139">
        <v>1.99</v>
      </c>
      <c r="V220" s="136"/>
    </row>
    <row r="221" spans="1:22" ht="14" thickBot="1" x14ac:dyDescent="0.4">
      <c r="A221" s="131" t="s">
        <v>25</v>
      </c>
      <c r="B221" s="122" t="s">
        <v>20</v>
      </c>
      <c r="C221" s="122" t="s">
        <v>19</v>
      </c>
      <c r="D221" s="141" t="s">
        <v>512</v>
      </c>
      <c r="E221" s="141" t="s">
        <v>390</v>
      </c>
      <c r="F221" s="146" t="str">
        <f t="shared" si="3"/>
        <v>144 ri</v>
      </c>
      <c r="G221" s="134">
        <v>144</v>
      </c>
      <c r="H221" s="135">
        <v>13</v>
      </c>
      <c r="I221" s="136" t="s">
        <v>374</v>
      </c>
      <c r="J221" s="137">
        <v>45016</v>
      </c>
      <c r="K221" s="136" t="s">
        <v>374</v>
      </c>
      <c r="L221" s="141"/>
      <c r="M221" s="137">
        <v>45061</v>
      </c>
      <c r="N221" s="136" t="s">
        <v>427</v>
      </c>
      <c r="O221" s="138">
        <v>45061.638877314814</v>
      </c>
      <c r="P221" s="139">
        <v>74.900000000000006</v>
      </c>
      <c r="Q221" s="136" t="s">
        <v>376</v>
      </c>
      <c r="R221" s="139">
        <v>1.4970000000000001</v>
      </c>
      <c r="S221" s="139">
        <v>0.82599999999999996</v>
      </c>
      <c r="T221" s="139">
        <v>1.81</v>
      </c>
      <c r="U221" s="139">
        <v>0.81</v>
      </c>
      <c r="V221" s="140" t="s">
        <v>513</v>
      </c>
    </row>
    <row r="222" spans="1:22" ht="14" thickBot="1" x14ac:dyDescent="0.4">
      <c r="A222" s="131" t="s">
        <v>25</v>
      </c>
      <c r="B222" s="122" t="s">
        <v>20</v>
      </c>
      <c r="C222" s="129" t="s">
        <v>121</v>
      </c>
      <c r="D222" s="141" t="s">
        <v>520</v>
      </c>
      <c r="E222" s="141" t="s">
        <v>390</v>
      </c>
      <c r="F222" s="146" t="str">
        <f t="shared" si="3"/>
        <v>1004 ri</v>
      </c>
      <c r="G222" s="134">
        <v>1004</v>
      </c>
      <c r="H222" s="135">
        <v>8</v>
      </c>
      <c r="I222" s="136" t="s">
        <v>374</v>
      </c>
      <c r="J222" s="137">
        <v>45037</v>
      </c>
      <c r="K222" s="136" t="s">
        <v>374</v>
      </c>
      <c r="L222" s="141"/>
      <c r="M222" s="137">
        <v>45078</v>
      </c>
      <c r="N222" s="136" t="s">
        <v>420</v>
      </c>
      <c r="O222" s="138">
        <v>45079.460451388892</v>
      </c>
      <c r="P222" s="132">
        <v>24.3</v>
      </c>
      <c r="Q222" s="136" t="s">
        <v>376</v>
      </c>
      <c r="R222" s="139">
        <v>0.48499999999999999</v>
      </c>
      <c r="S222" s="139">
        <v>0.29299999999999998</v>
      </c>
      <c r="T222" s="139">
        <v>1.66</v>
      </c>
      <c r="U222" s="132">
        <v>0.24</v>
      </c>
      <c r="V222" s="140" t="s">
        <v>517</v>
      </c>
    </row>
    <row r="223" spans="1:22" ht="14" thickBot="1" x14ac:dyDescent="0.4">
      <c r="A223" s="131" t="s">
        <v>25</v>
      </c>
      <c r="B223" s="130" t="s">
        <v>39</v>
      </c>
      <c r="C223" s="129" t="s">
        <v>121</v>
      </c>
      <c r="D223" s="141" t="s">
        <v>528</v>
      </c>
      <c r="E223" s="141" t="s">
        <v>390</v>
      </c>
      <c r="F223" s="146" t="str">
        <f t="shared" si="3"/>
        <v>1022 ri</v>
      </c>
      <c r="G223" s="134">
        <v>1022</v>
      </c>
      <c r="H223" s="135">
        <v>9</v>
      </c>
      <c r="I223" s="136" t="s">
        <v>374</v>
      </c>
      <c r="J223" s="137">
        <v>45013</v>
      </c>
      <c r="K223" s="136" t="s">
        <v>374</v>
      </c>
      <c r="L223" s="141"/>
      <c r="M223" s="137">
        <v>45040</v>
      </c>
      <c r="N223" s="136" t="s">
        <v>386</v>
      </c>
      <c r="O223" s="138">
        <v>45040.838645833333</v>
      </c>
      <c r="P223" s="139">
        <v>66.2</v>
      </c>
      <c r="Q223" s="136" t="s">
        <v>376</v>
      </c>
      <c r="R223" s="139">
        <v>1.3240000000000001</v>
      </c>
      <c r="S223" s="139">
        <v>0.73899999999999999</v>
      </c>
      <c r="T223" s="139">
        <v>1.79</v>
      </c>
      <c r="U223" s="139">
        <v>1.1100000000000001</v>
      </c>
      <c r="V223" s="136"/>
    </row>
    <row r="224" spans="1:22" ht="14" thickBot="1" x14ac:dyDescent="0.4">
      <c r="A224" s="121" t="s">
        <v>21</v>
      </c>
      <c r="B224" s="122" t="s">
        <v>20</v>
      </c>
      <c r="C224" s="129" t="s">
        <v>121</v>
      </c>
      <c r="D224" s="141" t="s">
        <v>540</v>
      </c>
      <c r="E224" s="141" t="s">
        <v>390</v>
      </c>
      <c r="F224" s="146" t="str">
        <f t="shared" si="3"/>
        <v>1032 ri</v>
      </c>
      <c r="G224" s="134">
        <v>1032</v>
      </c>
      <c r="H224" s="135">
        <v>9</v>
      </c>
      <c r="I224" s="136" t="s">
        <v>374</v>
      </c>
      <c r="J224" s="137">
        <v>45035</v>
      </c>
      <c r="K224" s="136" t="s">
        <v>374</v>
      </c>
      <c r="L224" s="141"/>
      <c r="M224" s="137">
        <v>45040</v>
      </c>
      <c r="N224" s="136" t="s">
        <v>386</v>
      </c>
      <c r="O224" s="138">
        <v>45040.839490740742</v>
      </c>
      <c r="P224" s="132">
        <v>49.4</v>
      </c>
      <c r="Q224" s="136" t="s">
        <v>376</v>
      </c>
      <c r="R224" s="139">
        <v>0.98799999999999999</v>
      </c>
      <c r="S224" s="139">
        <v>0.60699999999999998</v>
      </c>
      <c r="T224" s="139">
        <v>1.63</v>
      </c>
      <c r="U224" s="139">
        <v>0.54</v>
      </c>
      <c r="V224" s="136"/>
    </row>
    <row r="225" spans="1:22" ht="14" thickBot="1" x14ac:dyDescent="0.4">
      <c r="A225" s="121" t="s">
        <v>21</v>
      </c>
      <c r="B225" s="130" t="s">
        <v>39</v>
      </c>
      <c r="C225" s="129" t="s">
        <v>121</v>
      </c>
      <c r="D225" s="141" t="s">
        <v>549</v>
      </c>
      <c r="E225" s="141" t="s">
        <v>390</v>
      </c>
      <c r="F225" s="146" t="str">
        <f t="shared" si="3"/>
        <v>1046 ri</v>
      </c>
      <c r="G225" s="134">
        <v>1046</v>
      </c>
      <c r="H225" s="135">
        <v>9</v>
      </c>
      <c r="I225" s="136" t="s">
        <v>374</v>
      </c>
      <c r="J225" s="137">
        <v>45027</v>
      </c>
      <c r="K225" s="136" t="s">
        <v>374</v>
      </c>
      <c r="L225" s="141"/>
      <c r="M225" s="137">
        <v>45040</v>
      </c>
      <c r="N225" s="136" t="s">
        <v>386</v>
      </c>
      <c r="O225" s="138">
        <v>45040.840844907405</v>
      </c>
      <c r="P225" s="139">
        <v>66.099999999999994</v>
      </c>
      <c r="Q225" s="136" t="s">
        <v>376</v>
      </c>
      <c r="R225" s="139">
        <v>1.321</v>
      </c>
      <c r="S225" s="139">
        <v>0.747</v>
      </c>
      <c r="T225" s="139">
        <v>1.77</v>
      </c>
      <c r="U225" s="132">
        <v>0.1</v>
      </c>
      <c r="V225" s="136"/>
    </row>
    <row r="226" spans="1:22" ht="14" thickBot="1" x14ac:dyDescent="0.4">
      <c r="A226" s="121" t="s">
        <v>21</v>
      </c>
      <c r="B226" s="130" t="s">
        <v>39</v>
      </c>
      <c r="C226" s="129" t="s">
        <v>121</v>
      </c>
      <c r="D226" s="141" t="s">
        <v>557</v>
      </c>
      <c r="E226" s="141" t="s">
        <v>390</v>
      </c>
      <c r="F226" s="146" t="str">
        <f t="shared" si="3"/>
        <v>1058 ri</v>
      </c>
      <c r="G226" s="134">
        <v>1058</v>
      </c>
      <c r="H226" s="135">
        <v>10</v>
      </c>
      <c r="I226" s="136" t="s">
        <v>374</v>
      </c>
      <c r="J226" s="137">
        <v>45027</v>
      </c>
      <c r="K226" s="136" t="s">
        <v>374</v>
      </c>
      <c r="L226" s="141"/>
      <c r="M226" s="137">
        <v>45057</v>
      </c>
      <c r="N226" s="136" t="s">
        <v>427</v>
      </c>
      <c r="O226" s="138">
        <v>45057.680532407408</v>
      </c>
      <c r="P226" s="132">
        <v>36.5</v>
      </c>
      <c r="Q226" s="136" t="s">
        <v>376</v>
      </c>
      <c r="R226" s="139">
        <v>0.72899999999999998</v>
      </c>
      <c r="S226" s="139">
        <v>0.42699999999999999</v>
      </c>
      <c r="T226" s="139">
        <v>1.71</v>
      </c>
      <c r="U226" s="139">
        <v>1.27</v>
      </c>
      <c r="V226" s="136"/>
    </row>
    <row r="227" spans="1:22" ht="14" thickBot="1" x14ac:dyDescent="0.4">
      <c r="A227" s="131" t="s">
        <v>25</v>
      </c>
      <c r="B227" s="130" t="s">
        <v>39</v>
      </c>
      <c r="C227" s="129" t="s">
        <v>121</v>
      </c>
      <c r="D227" s="141" t="s">
        <v>561</v>
      </c>
      <c r="E227" s="141" t="s">
        <v>390</v>
      </c>
      <c r="F227" s="146" t="str">
        <f t="shared" si="3"/>
        <v>1060 ri</v>
      </c>
      <c r="G227" s="134">
        <v>1060</v>
      </c>
      <c r="H227" s="135">
        <v>10</v>
      </c>
      <c r="I227" s="136" t="s">
        <v>374</v>
      </c>
      <c r="J227" s="137">
        <v>45027</v>
      </c>
      <c r="K227" s="136" t="s">
        <v>374</v>
      </c>
      <c r="L227" s="141"/>
      <c r="M227" s="137">
        <v>45057</v>
      </c>
      <c r="N227" s="136" t="s">
        <v>427</v>
      </c>
      <c r="O227" s="138">
        <v>45057.681481481479</v>
      </c>
      <c r="P227" s="132">
        <v>21.8</v>
      </c>
      <c r="Q227" s="136" t="s">
        <v>376</v>
      </c>
      <c r="R227" s="139">
        <v>0.437</v>
      </c>
      <c r="S227" s="139">
        <v>0.27</v>
      </c>
      <c r="T227" s="139">
        <v>1.62</v>
      </c>
      <c r="U227" s="139">
        <v>0.41</v>
      </c>
      <c r="V227" s="136"/>
    </row>
    <row r="228" spans="1:22" ht="14" thickBot="1" x14ac:dyDescent="0.4">
      <c r="A228" s="131" t="s">
        <v>25</v>
      </c>
      <c r="B228" s="122" t="s">
        <v>20</v>
      </c>
      <c r="C228" s="129" t="s">
        <v>121</v>
      </c>
      <c r="D228" s="141" t="s">
        <v>565</v>
      </c>
      <c r="E228" s="141" t="s">
        <v>390</v>
      </c>
      <c r="F228" s="146" t="str">
        <f t="shared" si="3"/>
        <v>1064 ri</v>
      </c>
      <c r="G228" s="134">
        <v>1064</v>
      </c>
      <c r="H228" s="135">
        <v>9</v>
      </c>
      <c r="I228" s="136" t="s">
        <v>374</v>
      </c>
      <c r="J228" s="137">
        <v>45033</v>
      </c>
      <c r="K228" s="136" t="s">
        <v>374</v>
      </c>
      <c r="L228" s="141"/>
      <c r="M228" s="137">
        <v>45040</v>
      </c>
      <c r="N228" s="136" t="s">
        <v>386</v>
      </c>
      <c r="O228" s="138">
        <v>45040.842418981483</v>
      </c>
      <c r="P228" s="132">
        <v>38.6</v>
      </c>
      <c r="Q228" s="136" t="s">
        <v>376</v>
      </c>
      <c r="R228" s="139">
        <v>0.77300000000000002</v>
      </c>
      <c r="S228" s="139">
        <v>0.46</v>
      </c>
      <c r="T228" s="139">
        <v>1.68</v>
      </c>
      <c r="U228" s="139">
        <v>0.56999999999999995</v>
      </c>
      <c r="V228" s="136"/>
    </row>
    <row r="229" spans="1:22" ht="14" thickBot="1" x14ac:dyDescent="0.4">
      <c r="A229" s="121" t="s">
        <v>21</v>
      </c>
      <c r="B229" s="122" t="s">
        <v>20</v>
      </c>
      <c r="C229" s="129" t="s">
        <v>121</v>
      </c>
      <c r="D229" s="141" t="s">
        <v>569</v>
      </c>
      <c r="E229" s="141" t="s">
        <v>390</v>
      </c>
      <c r="F229" s="146" t="str">
        <f t="shared" si="3"/>
        <v>1070 ri</v>
      </c>
      <c r="G229" s="134">
        <v>1070</v>
      </c>
      <c r="H229" s="135">
        <v>12</v>
      </c>
      <c r="I229" s="136" t="s">
        <v>374</v>
      </c>
      <c r="J229" s="137">
        <v>45037</v>
      </c>
      <c r="K229" s="136" t="s">
        <v>374</v>
      </c>
      <c r="L229" s="141"/>
      <c r="M229" s="137">
        <v>45063</v>
      </c>
      <c r="N229" s="136" t="s">
        <v>392</v>
      </c>
      <c r="O229" s="138">
        <v>45063.637048611112</v>
      </c>
      <c r="P229" s="132">
        <v>25.9</v>
      </c>
      <c r="Q229" s="136" t="s">
        <v>376</v>
      </c>
      <c r="R229" s="139">
        <v>0.51700000000000002</v>
      </c>
      <c r="S229" s="139">
        <v>0.29099999999999998</v>
      </c>
      <c r="T229" s="139">
        <v>1.78</v>
      </c>
      <c r="U229" s="132">
        <v>0.4</v>
      </c>
      <c r="V229" s="136"/>
    </row>
    <row r="230" spans="1:22" ht="14" thickBot="1" x14ac:dyDescent="0.4">
      <c r="A230" s="121" t="s">
        <v>21</v>
      </c>
      <c r="B230" s="130" t="s">
        <v>39</v>
      </c>
      <c r="C230" s="129" t="s">
        <v>121</v>
      </c>
      <c r="D230" s="141" t="s">
        <v>575</v>
      </c>
      <c r="E230" s="141" t="s">
        <v>390</v>
      </c>
      <c r="F230" s="146" t="str">
        <f t="shared" si="3"/>
        <v>1074 ri</v>
      </c>
      <c r="G230" s="134">
        <v>1074</v>
      </c>
      <c r="H230" s="135">
        <v>11</v>
      </c>
      <c r="I230" s="136" t="s">
        <v>374</v>
      </c>
      <c r="J230" s="137">
        <v>45022</v>
      </c>
      <c r="K230" s="136" t="s">
        <v>374</v>
      </c>
      <c r="L230" s="141"/>
      <c r="M230" s="137">
        <v>45058</v>
      </c>
      <c r="N230" s="136" t="s">
        <v>392</v>
      </c>
      <c r="O230" s="138">
        <v>45058.539074074077</v>
      </c>
      <c r="P230" s="132">
        <v>35.1</v>
      </c>
      <c r="Q230" s="136" t="s">
        <v>376</v>
      </c>
      <c r="R230" s="139">
        <v>0.70099999999999996</v>
      </c>
      <c r="S230" s="139">
        <v>0.39200000000000002</v>
      </c>
      <c r="T230" s="139">
        <v>1.79</v>
      </c>
      <c r="U230" s="132">
        <v>0.23</v>
      </c>
      <c r="V230" s="136"/>
    </row>
    <row r="231" spans="1:22" ht="14" thickBot="1" x14ac:dyDescent="0.4">
      <c r="A231" s="121" t="s">
        <v>21</v>
      </c>
      <c r="B231" s="122" t="s">
        <v>20</v>
      </c>
      <c r="C231" s="129" t="s">
        <v>121</v>
      </c>
      <c r="D231" s="141" t="s">
        <v>583</v>
      </c>
      <c r="E231" s="141" t="s">
        <v>390</v>
      </c>
      <c r="F231" s="146" t="str">
        <f t="shared" si="3"/>
        <v>1086 ri</v>
      </c>
      <c r="G231" s="134">
        <v>1086</v>
      </c>
      <c r="H231" s="135">
        <v>13</v>
      </c>
      <c r="I231" s="136" t="s">
        <v>374</v>
      </c>
      <c r="J231" s="137">
        <v>45037</v>
      </c>
      <c r="K231" s="136" t="s">
        <v>374</v>
      </c>
      <c r="L231" s="141"/>
      <c r="M231" s="137">
        <v>45061</v>
      </c>
      <c r="N231" s="136" t="s">
        <v>427</v>
      </c>
      <c r="O231" s="138">
        <v>45061.640960648147</v>
      </c>
      <c r="P231" s="139">
        <v>90.7</v>
      </c>
      <c r="Q231" s="136" t="s">
        <v>376</v>
      </c>
      <c r="R231" s="139">
        <v>1.8140000000000001</v>
      </c>
      <c r="S231" s="139">
        <v>0.97899999999999998</v>
      </c>
      <c r="T231" s="139">
        <v>1.85</v>
      </c>
      <c r="U231" s="139">
        <v>1.46</v>
      </c>
      <c r="V231" s="140" t="s">
        <v>584</v>
      </c>
    </row>
    <row r="232" spans="1:22" ht="14" thickBot="1" x14ac:dyDescent="0.4">
      <c r="A232" s="131" t="s">
        <v>25</v>
      </c>
      <c r="B232" s="130" t="s">
        <v>39</v>
      </c>
      <c r="C232" s="129" t="s">
        <v>121</v>
      </c>
      <c r="D232" s="141" t="s">
        <v>594</v>
      </c>
      <c r="E232" s="141" t="s">
        <v>390</v>
      </c>
      <c r="F232" s="146" t="str">
        <f t="shared" si="3"/>
        <v>1096 ri</v>
      </c>
      <c r="G232" s="134">
        <v>1096</v>
      </c>
      <c r="H232" s="135">
        <v>11</v>
      </c>
      <c r="I232" s="136" t="s">
        <v>374</v>
      </c>
      <c r="J232" s="137">
        <v>45033</v>
      </c>
      <c r="K232" s="136" t="s">
        <v>374</v>
      </c>
      <c r="L232" s="141"/>
      <c r="M232" s="137">
        <v>45058</v>
      </c>
      <c r="N232" s="136" t="s">
        <v>392</v>
      </c>
      <c r="O232" s="138">
        <v>45058.539930555555</v>
      </c>
      <c r="P232" s="132">
        <v>24.5</v>
      </c>
      <c r="Q232" s="136" t="s">
        <v>376</v>
      </c>
      <c r="R232" s="139">
        <v>0.48899999999999999</v>
      </c>
      <c r="S232" s="139">
        <v>0.28599999999999998</v>
      </c>
      <c r="T232" s="139">
        <v>1.71</v>
      </c>
      <c r="U232" s="139">
        <v>0.96</v>
      </c>
      <c r="V232" s="136"/>
    </row>
    <row r="233" spans="1:22" ht="14" thickBot="1" x14ac:dyDescent="0.4">
      <c r="A233" s="121" t="s">
        <v>21</v>
      </c>
      <c r="B233" s="122" t="s">
        <v>20</v>
      </c>
      <c r="C233" s="129" t="s">
        <v>121</v>
      </c>
      <c r="D233" s="141" t="s">
        <v>600</v>
      </c>
      <c r="E233" s="141" t="s">
        <v>390</v>
      </c>
      <c r="F233" s="146" t="str">
        <f t="shared" si="3"/>
        <v>1102 ri</v>
      </c>
      <c r="G233" s="134">
        <v>1102</v>
      </c>
      <c r="H233" s="135">
        <v>11</v>
      </c>
      <c r="I233" s="136" t="s">
        <v>374</v>
      </c>
      <c r="J233" s="137">
        <v>45033</v>
      </c>
      <c r="K233" s="136" t="s">
        <v>374</v>
      </c>
      <c r="L233" s="141"/>
      <c r="M233" s="137">
        <v>45058</v>
      </c>
      <c r="N233" s="136" t="s">
        <v>392</v>
      </c>
      <c r="O233" s="138">
        <v>45058.541192129633</v>
      </c>
      <c r="P233" s="132">
        <v>16.5</v>
      </c>
      <c r="Q233" s="136" t="s">
        <v>376</v>
      </c>
      <c r="R233" s="139">
        <v>0.33</v>
      </c>
      <c r="S233" s="139">
        <v>0.184</v>
      </c>
      <c r="T233" s="139">
        <v>1.79</v>
      </c>
      <c r="U233" s="139">
        <v>0.65</v>
      </c>
      <c r="V233" s="136"/>
    </row>
    <row r="234" spans="1:22" ht="14" thickBot="1" x14ac:dyDescent="0.4">
      <c r="A234" s="121" t="s">
        <v>21</v>
      </c>
      <c r="B234" s="130" t="s">
        <v>39</v>
      </c>
      <c r="C234" s="129" t="s">
        <v>121</v>
      </c>
      <c r="D234" s="141" t="s">
        <v>606</v>
      </c>
      <c r="E234" s="141" t="s">
        <v>390</v>
      </c>
      <c r="F234" s="146" t="str">
        <f t="shared" si="3"/>
        <v>1107 ri</v>
      </c>
      <c r="G234" s="134">
        <v>1107</v>
      </c>
      <c r="H234" s="135">
        <v>12</v>
      </c>
      <c r="I234" s="136" t="s">
        <v>374</v>
      </c>
      <c r="J234" s="137">
        <v>45033</v>
      </c>
      <c r="K234" s="136" t="s">
        <v>374</v>
      </c>
      <c r="L234" s="141"/>
      <c r="M234" s="137">
        <v>45063</v>
      </c>
      <c r="N234" s="136" t="s">
        <v>392</v>
      </c>
      <c r="O234" s="138">
        <v>45063.63795138889</v>
      </c>
      <c r="P234" s="132">
        <v>45.5</v>
      </c>
      <c r="Q234" s="136" t="s">
        <v>376</v>
      </c>
      <c r="R234" s="139">
        <v>0.90900000000000003</v>
      </c>
      <c r="S234" s="139">
        <v>0.51400000000000001</v>
      </c>
      <c r="T234" s="139">
        <v>1.77</v>
      </c>
      <c r="U234" s="132">
        <v>0.31</v>
      </c>
      <c r="V234" s="136"/>
    </row>
    <row r="235" spans="1:22" ht="14" thickBot="1" x14ac:dyDescent="0.4">
      <c r="A235" s="121" t="s">
        <v>21</v>
      </c>
      <c r="B235" s="130" t="s">
        <v>39</v>
      </c>
      <c r="C235" s="129" t="s">
        <v>121</v>
      </c>
      <c r="D235" s="141" t="s">
        <v>611</v>
      </c>
      <c r="E235" s="141" t="s">
        <v>390</v>
      </c>
      <c r="F235" s="146" t="str">
        <f t="shared" si="3"/>
        <v>1108 ri</v>
      </c>
      <c r="G235" s="134">
        <v>1108</v>
      </c>
      <c r="H235" s="135">
        <v>13</v>
      </c>
      <c r="I235" s="136" t="s">
        <v>374</v>
      </c>
      <c r="J235" s="137">
        <v>45027</v>
      </c>
      <c r="K235" s="136" t="s">
        <v>374</v>
      </c>
      <c r="L235" s="141"/>
      <c r="M235" s="137">
        <v>45061</v>
      </c>
      <c r="N235" s="136" t="s">
        <v>427</v>
      </c>
      <c r="O235" s="138">
        <v>45061.642627314817</v>
      </c>
      <c r="P235" s="139">
        <v>190.5</v>
      </c>
      <c r="Q235" s="136" t="s">
        <v>376</v>
      </c>
      <c r="R235" s="139">
        <v>3.8090000000000002</v>
      </c>
      <c r="S235" s="139">
        <v>2.052</v>
      </c>
      <c r="T235" s="139">
        <v>1.86</v>
      </c>
      <c r="U235" s="139">
        <v>1.41</v>
      </c>
      <c r="V235" s="136"/>
    </row>
    <row r="236" spans="1:22" ht="14" thickBot="1" x14ac:dyDescent="0.4">
      <c r="A236" s="131" t="s">
        <v>25</v>
      </c>
      <c r="B236" s="130" t="s">
        <v>39</v>
      </c>
      <c r="C236" s="129" t="s">
        <v>121</v>
      </c>
      <c r="D236" s="141" t="s">
        <v>615</v>
      </c>
      <c r="E236" s="141" t="s">
        <v>390</v>
      </c>
      <c r="F236" s="146" t="str">
        <f t="shared" si="3"/>
        <v>1114 ri</v>
      </c>
      <c r="G236" s="134">
        <v>1114</v>
      </c>
      <c r="H236" s="135">
        <v>12</v>
      </c>
      <c r="I236" s="136" t="s">
        <v>374</v>
      </c>
      <c r="J236" s="137">
        <v>45022</v>
      </c>
      <c r="K236" s="136" t="s">
        <v>374</v>
      </c>
      <c r="L236" s="141"/>
      <c r="M236" s="137">
        <v>45063</v>
      </c>
      <c r="N236" s="136" t="s">
        <v>392</v>
      </c>
      <c r="O236" s="138">
        <v>45063.638738425929</v>
      </c>
      <c r="P236" s="132">
        <v>39.299999999999997</v>
      </c>
      <c r="Q236" s="136" t="s">
        <v>376</v>
      </c>
      <c r="R236" s="139">
        <v>0.78600000000000003</v>
      </c>
      <c r="S236" s="139">
        <v>0.434</v>
      </c>
      <c r="T236" s="139">
        <v>1.81</v>
      </c>
      <c r="U236" s="139">
        <v>0.49</v>
      </c>
      <c r="V236" s="136"/>
    </row>
    <row r="237" spans="1:22" ht="14" thickBot="1" x14ac:dyDescent="0.4">
      <c r="A237" s="131" t="s">
        <v>25</v>
      </c>
      <c r="B237" s="122" t="s">
        <v>20</v>
      </c>
      <c r="C237" s="129" t="s">
        <v>121</v>
      </c>
      <c r="D237" s="141" t="s">
        <v>619</v>
      </c>
      <c r="E237" s="141" t="s">
        <v>390</v>
      </c>
      <c r="F237" s="146" t="str">
        <f t="shared" si="3"/>
        <v>1118 ri</v>
      </c>
      <c r="G237" s="134">
        <v>1118</v>
      </c>
      <c r="H237" s="135">
        <v>11</v>
      </c>
      <c r="I237" s="136" t="s">
        <v>374</v>
      </c>
      <c r="J237" s="137">
        <v>45027</v>
      </c>
      <c r="K237" s="136" t="s">
        <v>374</v>
      </c>
      <c r="L237" s="141"/>
      <c r="M237" s="137">
        <v>45058</v>
      </c>
      <c r="N237" s="136" t="s">
        <v>392</v>
      </c>
      <c r="O237" s="138">
        <v>45058.541967592595</v>
      </c>
      <c r="P237" s="132">
        <v>17.899999999999999</v>
      </c>
      <c r="Q237" s="136" t="s">
        <v>376</v>
      </c>
      <c r="R237" s="139">
        <v>0.35799999999999998</v>
      </c>
      <c r="S237" s="139">
        <v>0.20699999999999999</v>
      </c>
      <c r="T237" s="139">
        <v>1.73</v>
      </c>
      <c r="U237" s="132">
        <v>0.24</v>
      </c>
      <c r="V237" s="136"/>
    </row>
    <row r="238" spans="1:22" ht="14" thickBot="1" x14ac:dyDescent="0.4">
      <c r="A238" s="131" t="s">
        <v>25</v>
      </c>
      <c r="B238" s="130" t="s">
        <v>39</v>
      </c>
      <c r="C238" s="129" t="s">
        <v>121</v>
      </c>
      <c r="D238" s="141" t="s">
        <v>625</v>
      </c>
      <c r="E238" s="141" t="s">
        <v>390</v>
      </c>
      <c r="F238" s="146" t="str">
        <f t="shared" si="3"/>
        <v>1124 ri</v>
      </c>
      <c r="G238" s="134">
        <v>1124</v>
      </c>
      <c r="H238" s="135">
        <v>13</v>
      </c>
      <c r="I238" s="136" t="s">
        <v>374</v>
      </c>
      <c r="J238" s="137">
        <v>45019</v>
      </c>
      <c r="K238" s="136" t="s">
        <v>374</v>
      </c>
      <c r="L238" s="141"/>
      <c r="M238" s="137">
        <v>45061</v>
      </c>
      <c r="N238" s="136" t="s">
        <v>427</v>
      </c>
      <c r="O238" s="138">
        <v>45061.643807870372</v>
      </c>
      <c r="P238" s="139">
        <v>154.19999999999999</v>
      </c>
      <c r="Q238" s="136" t="s">
        <v>376</v>
      </c>
      <c r="R238" s="139">
        <v>3.085</v>
      </c>
      <c r="S238" s="139">
        <v>1.657</v>
      </c>
      <c r="T238" s="139">
        <v>1.86</v>
      </c>
      <c r="U238" s="139">
        <v>1.97</v>
      </c>
      <c r="V238" s="136"/>
    </row>
    <row r="239" spans="1:22" ht="14" thickBot="1" x14ac:dyDescent="0.4">
      <c r="A239" s="131" t="s">
        <v>25</v>
      </c>
      <c r="B239" s="122" t="s">
        <v>20</v>
      </c>
      <c r="C239" s="129" t="s">
        <v>121</v>
      </c>
      <c r="D239" s="141" t="s">
        <v>630</v>
      </c>
      <c r="E239" s="141" t="s">
        <v>390</v>
      </c>
      <c r="F239" s="146" t="str">
        <f t="shared" si="3"/>
        <v>1126 ri</v>
      </c>
      <c r="G239" s="134">
        <v>1126</v>
      </c>
      <c r="H239" s="135">
        <v>12</v>
      </c>
      <c r="I239" s="136" t="s">
        <v>374</v>
      </c>
      <c r="J239" s="137">
        <v>45033</v>
      </c>
      <c r="K239" s="136" t="s">
        <v>374</v>
      </c>
      <c r="L239" s="141"/>
      <c r="M239" s="137">
        <v>45063</v>
      </c>
      <c r="N239" s="136" t="s">
        <v>392</v>
      </c>
      <c r="O239" s="138">
        <v>45063.639513888891</v>
      </c>
      <c r="P239" s="132">
        <v>13.7</v>
      </c>
      <c r="Q239" s="136" t="s">
        <v>376</v>
      </c>
      <c r="R239" s="139">
        <v>0.27500000000000002</v>
      </c>
      <c r="S239" s="139">
        <v>0.16300000000000001</v>
      </c>
      <c r="T239" s="139">
        <v>1.68</v>
      </c>
      <c r="U239" s="132">
        <v>0.04</v>
      </c>
      <c r="V239" s="136"/>
    </row>
    <row r="240" spans="1:22" ht="14" thickBot="1" x14ac:dyDescent="0.4">
      <c r="A240" s="121" t="s">
        <v>21</v>
      </c>
      <c r="B240" s="122" t="s">
        <v>20</v>
      </c>
      <c r="C240" s="129" t="s">
        <v>121</v>
      </c>
      <c r="D240" s="141" t="s">
        <v>637</v>
      </c>
      <c r="E240" s="141" t="s">
        <v>390</v>
      </c>
      <c r="F240" s="146" t="str">
        <f t="shared" si="3"/>
        <v>1134 ri</v>
      </c>
      <c r="G240" s="134">
        <v>1134</v>
      </c>
      <c r="H240" s="135">
        <v>10</v>
      </c>
      <c r="I240" s="136" t="s">
        <v>374</v>
      </c>
      <c r="J240" s="137">
        <v>45035</v>
      </c>
      <c r="K240" s="136" t="s">
        <v>374</v>
      </c>
      <c r="L240" s="141"/>
      <c r="M240" s="137">
        <v>45057</v>
      </c>
      <c r="N240" s="136" t="s">
        <v>427</v>
      </c>
      <c r="O240" s="138">
        <v>45057.68408564815</v>
      </c>
      <c r="P240" s="132">
        <v>18.5</v>
      </c>
      <c r="Q240" s="136" t="s">
        <v>376</v>
      </c>
      <c r="R240" s="139">
        <v>0.371</v>
      </c>
      <c r="S240" s="139">
        <v>0.22800000000000001</v>
      </c>
      <c r="T240" s="139">
        <v>1.62</v>
      </c>
      <c r="U240" s="132">
        <v>0.18</v>
      </c>
      <c r="V240" s="136"/>
    </row>
    <row r="241" spans="1:22" ht="14" thickBot="1" x14ac:dyDescent="0.4">
      <c r="A241" s="131" t="s">
        <v>25</v>
      </c>
      <c r="B241" s="122" t="s">
        <v>20</v>
      </c>
      <c r="C241" s="129" t="s">
        <v>121</v>
      </c>
      <c r="D241" s="141" t="s">
        <v>641</v>
      </c>
      <c r="E241" s="141" t="s">
        <v>390</v>
      </c>
      <c r="F241" s="146" t="str">
        <f t="shared" si="3"/>
        <v>1144 ri</v>
      </c>
      <c r="G241" s="134">
        <v>1144</v>
      </c>
      <c r="H241" s="135">
        <v>13</v>
      </c>
      <c r="I241" s="136" t="s">
        <v>374</v>
      </c>
      <c r="J241" s="137">
        <v>45033</v>
      </c>
      <c r="K241" s="136" t="s">
        <v>374</v>
      </c>
      <c r="L241" s="141"/>
      <c r="M241" s="137">
        <v>45061</v>
      </c>
      <c r="N241" s="136" t="s">
        <v>427</v>
      </c>
      <c r="O241" s="138">
        <v>45061.644976851851</v>
      </c>
      <c r="P241" s="139">
        <v>181.4</v>
      </c>
      <c r="Q241" s="136" t="s">
        <v>376</v>
      </c>
      <c r="R241" s="139">
        <v>3.6280000000000001</v>
      </c>
      <c r="S241" s="139">
        <v>1.9650000000000001</v>
      </c>
      <c r="T241" s="139">
        <v>1.85</v>
      </c>
      <c r="U241" s="139">
        <v>1.1499999999999999</v>
      </c>
      <c r="V241" s="136"/>
    </row>
    <row r="242" spans="1:22" ht="14" thickBot="1" x14ac:dyDescent="0.4">
      <c r="A242" s="121" t="s">
        <v>21</v>
      </c>
      <c r="B242" s="130" t="s">
        <v>39</v>
      </c>
      <c r="C242" s="122" t="s">
        <v>19</v>
      </c>
      <c r="D242" s="141" t="s">
        <v>434</v>
      </c>
      <c r="E242" s="141" t="s">
        <v>388</v>
      </c>
      <c r="F242" s="146" t="str">
        <f t="shared" si="3"/>
        <v>74 bis ro</v>
      </c>
      <c r="G242" s="123" t="s">
        <v>886</v>
      </c>
      <c r="L242" s="141"/>
      <c r="M242" s="120" t="s">
        <v>887</v>
      </c>
      <c r="N242" s="120" t="s">
        <v>887</v>
      </c>
      <c r="O242" s="120" t="s">
        <v>887</v>
      </c>
      <c r="P242" s="120" t="s">
        <v>887</v>
      </c>
      <c r="Q242" s="120" t="s">
        <v>887</v>
      </c>
      <c r="R242" s="120" t="s">
        <v>887</v>
      </c>
      <c r="S242" s="120" t="s">
        <v>887</v>
      </c>
      <c r="T242" s="120" t="s">
        <v>887</v>
      </c>
      <c r="U242" s="120" t="s">
        <v>887</v>
      </c>
    </row>
  </sheetData>
  <autoFilter ref="A1:V241" xr:uid="{9481CB67-4988-42A0-BE99-5F27FC430FE3}">
    <sortState xmlns:xlrd2="http://schemas.microsoft.com/office/spreadsheetml/2017/richdata2" ref="A2:V241">
      <sortCondition ref="E2:E241"/>
      <sortCondition ref="G2:G241"/>
      <sortCondition ref="A2:A241"/>
      <sortCondition ref="B2:B241" customList="WW,WS"/>
      <sortCondition ref="C2:C241" customList="OT,HS"/>
    </sortState>
  </autoFilter>
  <printOptions gridLines="1"/>
  <pageMargins left="0.70866141732283472" right="0.70866141732283472" top="0.74803149606299213" bottom="0.74803149606299213" header="0.31496062992125984" footer="0.31496062992125984"/>
  <pageSetup paperSize="8" scale="16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97DF-466C-42F5-818B-BD221F050F4F}">
  <sheetPr>
    <pageSetUpPr fitToPage="1"/>
  </sheetPr>
  <dimension ref="A1:AC10"/>
  <sheetViews>
    <sheetView zoomScale="115" zoomScaleNormal="115" workbookViewId="0">
      <selection activeCell="J20" sqref="J20"/>
    </sheetView>
  </sheetViews>
  <sheetFormatPr baseColWidth="10" defaultColWidth="10.81640625" defaultRowHeight="14.5" x14ac:dyDescent="0.35"/>
  <cols>
    <col min="1" max="9" width="5.54296875" style="40" customWidth="1"/>
    <col min="10" max="10" width="31.81640625" style="40" customWidth="1"/>
    <col min="11" max="19" width="5.54296875" style="40" customWidth="1"/>
    <col min="20" max="20" width="31.54296875" style="40" customWidth="1"/>
    <col min="21" max="29" width="5.54296875" style="40" customWidth="1"/>
    <col min="30" max="40" width="5.81640625" style="40" customWidth="1"/>
    <col min="41" max="16384" width="10.81640625" style="40"/>
  </cols>
  <sheetData>
    <row r="1" spans="1:29" ht="15.5" x14ac:dyDescent="0.35">
      <c r="A1" s="163" t="s">
        <v>642</v>
      </c>
      <c r="B1" s="163"/>
      <c r="C1" s="163"/>
      <c r="D1" s="163"/>
      <c r="E1" s="163"/>
      <c r="F1" s="163"/>
      <c r="G1" s="163"/>
      <c r="H1" s="163"/>
      <c r="I1" s="163"/>
      <c r="K1" s="163" t="s">
        <v>644</v>
      </c>
      <c r="L1" s="163"/>
      <c r="M1" s="163"/>
      <c r="N1" s="163"/>
      <c r="O1" s="163"/>
      <c r="P1" s="163"/>
      <c r="Q1" s="163"/>
      <c r="R1" s="163"/>
      <c r="S1" s="163"/>
      <c r="U1" s="163" t="s">
        <v>645</v>
      </c>
      <c r="V1" s="163"/>
      <c r="W1" s="163"/>
      <c r="X1" s="163"/>
      <c r="Y1" s="163"/>
      <c r="Z1" s="163"/>
      <c r="AA1" s="163"/>
      <c r="AB1" s="163"/>
      <c r="AC1" s="163"/>
    </row>
    <row r="2" spans="1:29" ht="31.5" customHeight="1" x14ac:dyDescent="0.4">
      <c r="A2" s="147" t="s">
        <v>666</v>
      </c>
      <c r="B2" s="147" t="s">
        <v>676</v>
      </c>
      <c r="C2" s="147" t="s">
        <v>656</v>
      </c>
      <c r="D2" s="147" t="s">
        <v>646</v>
      </c>
      <c r="E2" s="147" t="s">
        <v>677</v>
      </c>
      <c r="F2" s="147" t="s">
        <v>657</v>
      </c>
      <c r="G2" s="147" t="s">
        <v>647</v>
      </c>
      <c r="H2" s="147" t="s">
        <v>667</v>
      </c>
      <c r="I2" s="147" t="s">
        <v>658</v>
      </c>
      <c r="J2" s="148"/>
      <c r="K2" s="147" t="s">
        <v>875</v>
      </c>
      <c r="L2" s="147" t="s">
        <v>845</v>
      </c>
      <c r="M2" s="147" t="s">
        <v>865</v>
      </c>
      <c r="N2" s="147" t="s">
        <v>855</v>
      </c>
      <c r="O2" s="147" t="s">
        <v>876</v>
      </c>
      <c r="P2" s="147" t="s">
        <v>846</v>
      </c>
      <c r="Q2" s="147" t="s">
        <v>856</v>
      </c>
      <c r="R2" s="147" t="s">
        <v>877</v>
      </c>
      <c r="S2" s="147" t="s">
        <v>857</v>
      </c>
      <c r="T2" s="148"/>
      <c r="U2" s="147" t="s">
        <v>835</v>
      </c>
      <c r="V2" s="147" t="s">
        <v>806</v>
      </c>
      <c r="W2" s="147" t="s">
        <v>825</v>
      </c>
      <c r="X2" s="147" t="s">
        <v>816</v>
      </c>
      <c r="Y2" s="147" t="s">
        <v>836</v>
      </c>
      <c r="Z2" s="147" t="s">
        <v>807</v>
      </c>
      <c r="AA2" s="147" t="s">
        <v>817</v>
      </c>
      <c r="AB2" s="147" t="s">
        <v>837</v>
      </c>
      <c r="AC2" s="147" t="s">
        <v>818</v>
      </c>
    </row>
    <row r="3" spans="1:29" ht="31.5" customHeight="1" x14ac:dyDescent="0.4">
      <c r="A3" s="147" t="s">
        <v>678</v>
      </c>
      <c r="B3" s="147" t="s">
        <v>668</v>
      </c>
      <c r="C3" s="147" t="s">
        <v>659</v>
      </c>
      <c r="D3" s="147" t="s">
        <v>679</v>
      </c>
      <c r="E3" s="147" t="s">
        <v>680</v>
      </c>
      <c r="F3" s="147" t="s">
        <v>660</v>
      </c>
      <c r="G3" s="147" t="s">
        <v>669</v>
      </c>
      <c r="H3" s="147" t="s">
        <v>648</v>
      </c>
      <c r="I3" s="147" t="s">
        <v>670</v>
      </c>
      <c r="J3" s="148"/>
      <c r="K3" s="147" t="s">
        <v>847</v>
      </c>
      <c r="L3" s="147" t="s">
        <v>866</v>
      </c>
      <c r="M3" s="147" t="s">
        <v>878</v>
      </c>
      <c r="N3" s="147" t="s">
        <v>848</v>
      </c>
      <c r="O3" s="147" t="s">
        <v>858</v>
      </c>
      <c r="P3" s="147" t="s">
        <v>867</v>
      </c>
      <c r="Q3" s="147" t="s">
        <v>849</v>
      </c>
      <c r="R3" s="147" t="s">
        <v>879</v>
      </c>
      <c r="S3" s="147" t="s">
        <v>868</v>
      </c>
      <c r="T3" s="148"/>
      <c r="U3" s="147" t="s">
        <v>808</v>
      </c>
      <c r="V3" s="147" t="s">
        <v>826</v>
      </c>
      <c r="W3" s="147" t="s">
        <v>838</v>
      </c>
      <c r="X3" s="147" t="s">
        <v>809</v>
      </c>
      <c r="Y3" s="147" t="s">
        <v>819</v>
      </c>
      <c r="Z3" s="147" t="s">
        <v>827</v>
      </c>
      <c r="AA3" s="147" t="s">
        <v>810</v>
      </c>
      <c r="AB3" s="147" t="s">
        <v>839</v>
      </c>
      <c r="AC3" s="147" t="s">
        <v>828</v>
      </c>
    </row>
    <row r="4" spans="1:29" ht="31.5" customHeight="1" x14ac:dyDescent="0.4">
      <c r="A4" s="147" t="s">
        <v>649</v>
      </c>
      <c r="B4" s="147" t="s">
        <v>650</v>
      </c>
      <c r="C4" s="147" t="s">
        <v>651</v>
      </c>
      <c r="D4" s="147" t="s">
        <v>671</v>
      </c>
      <c r="E4" s="147" t="s">
        <v>681</v>
      </c>
      <c r="F4" s="147" t="s">
        <v>661</v>
      </c>
      <c r="G4" s="147" t="s">
        <v>652</v>
      </c>
      <c r="H4" s="147" t="s">
        <v>672</v>
      </c>
      <c r="I4" s="147" t="s">
        <v>682</v>
      </c>
      <c r="J4" s="148"/>
      <c r="K4" s="147" t="s">
        <v>859</v>
      </c>
      <c r="L4" s="147" t="s">
        <v>869</v>
      </c>
      <c r="M4" s="147" t="s">
        <v>870</v>
      </c>
      <c r="N4" s="147" t="s">
        <v>880</v>
      </c>
      <c r="O4" s="147" t="s">
        <v>850</v>
      </c>
      <c r="P4" s="147" t="s">
        <v>860</v>
      </c>
      <c r="Q4" s="147" t="s">
        <v>861</v>
      </c>
      <c r="R4" s="147" t="s">
        <v>881</v>
      </c>
      <c r="S4" s="147" t="s">
        <v>871</v>
      </c>
      <c r="T4" s="148"/>
      <c r="U4" s="149" t="s">
        <v>885</v>
      </c>
      <c r="V4" s="147" t="s">
        <v>829</v>
      </c>
      <c r="W4" s="147" t="s">
        <v>830</v>
      </c>
      <c r="X4" s="147" t="s">
        <v>840</v>
      </c>
      <c r="Y4" s="147" t="s">
        <v>811</v>
      </c>
      <c r="Z4" s="147" t="s">
        <v>820</v>
      </c>
      <c r="AA4" s="147" t="s">
        <v>821</v>
      </c>
      <c r="AB4" s="147" t="s">
        <v>841</v>
      </c>
      <c r="AC4" s="147" t="s">
        <v>831</v>
      </c>
    </row>
    <row r="5" spans="1:29" ht="31.5" customHeight="1" x14ac:dyDescent="0.4">
      <c r="A5" s="147" t="s">
        <v>653</v>
      </c>
      <c r="B5" s="147" t="s">
        <v>683</v>
      </c>
      <c r="C5" s="147" t="s">
        <v>673</v>
      </c>
      <c r="D5" s="147" t="s">
        <v>684</v>
      </c>
      <c r="E5" s="147" t="s">
        <v>662</v>
      </c>
      <c r="F5" s="147" t="s">
        <v>654</v>
      </c>
      <c r="G5" s="147" t="s">
        <v>685</v>
      </c>
      <c r="H5" s="147" t="s">
        <v>663</v>
      </c>
      <c r="I5" s="147" t="s">
        <v>655</v>
      </c>
      <c r="J5" s="148"/>
      <c r="K5" s="147" t="s">
        <v>851</v>
      </c>
      <c r="L5" s="147" t="s">
        <v>862</v>
      </c>
      <c r="M5" s="147" t="s">
        <v>852</v>
      </c>
      <c r="N5" s="147" t="s">
        <v>882</v>
      </c>
      <c r="O5" s="147" t="s">
        <v>853</v>
      </c>
      <c r="P5" s="147" t="s">
        <v>863</v>
      </c>
      <c r="Q5" s="147" t="s">
        <v>864</v>
      </c>
      <c r="R5" s="147" t="s">
        <v>883</v>
      </c>
      <c r="S5" s="147" t="s">
        <v>872</v>
      </c>
      <c r="T5" s="148"/>
      <c r="U5" s="147" t="s">
        <v>812</v>
      </c>
      <c r="V5" s="147" t="s">
        <v>822</v>
      </c>
      <c r="W5" s="147" t="s">
        <v>813</v>
      </c>
      <c r="X5" s="147" t="s">
        <v>842</v>
      </c>
      <c r="Y5" s="147" t="s">
        <v>814</v>
      </c>
      <c r="Z5" s="147" t="s">
        <v>823</v>
      </c>
      <c r="AA5" s="147" t="s">
        <v>824</v>
      </c>
      <c r="AB5" s="147" t="s">
        <v>843</v>
      </c>
      <c r="AC5" s="147" t="s">
        <v>832</v>
      </c>
    </row>
    <row r="6" spans="1:29" ht="31.5" customHeight="1" x14ac:dyDescent="0.4">
      <c r="A6" s="147" t="s">
        <v>674</v>
      </c>
      <c r="B6" s="147" t="s">
        <v>664</v>
      </c>
      <c r="C6" s="147" t="s">
        <v>665</v>
      </c>
      <c r="D6" s="147" t="s">
        <v>675</v>
      </c>
      <c r="E6" s="147"/>
      <c r="F6" s="147" t="s">
        <v>706</v>
      </c>
      <c r="G6" s="147" t="s">
        <v>716</v>
      </c>
      <c r="H6" s="147" t="s">
        <v>696</v>
      </c>
      <c r="I6" s="147" t="s">
        <v>686</v>
      </c>
      <c r="J6" s="148"/>
      <c r="K6" s="147" t="s">
        <v>884</v>
      </c>
      <c r="L6" s="147" t="s">
        <v>873</v>
      </c>
      <c r="M6" s="147" t="s">
        <v>854</v>
      </c>
      <c r="N6" s="147" t="s">
        <v>874</v>
      </c>
      <c r="O6" s="147"/>
      <c r="P6" s="147" t="s">
        <v>756</v>
      </c>
      <c r="Q6" s="147" t="s">
        <v>726</v>
      </c>
      <c r="R6" s="147" t="s">
        <v>746</v>
      </c>
      <c r="S6" s="147" t="s">
        <v>736</v>
      </c>
      <c r="T6" s="148"/>
      <c r="U6" s="147" t="s">
        <v>844</v>
      </c>
      <c r="V6" s="147" t="s">
        <v>833</v>
      </c>
      <c r="W6" s="147" t="s">
        <v>815</v>
      </c>
      <c r="X6" s="147" t="s">
        <v>834</v>
      </c>
      <c r="Y6" s="147"/>
      <c r="Z6" s="147" t="s">
        <v>796</v>
      </c>
      <c r="AA6" s="147" t="s">
        <v>766</v>
      </c>
      <c r="AB6" s="147" t="s">
        <v>786</v>
      </c>
      <c r="AC6" s="147" t="s">
        <v>776</v>
      </c>
    </row>
    <row r="7" spans="1:29" ht="31.5" customHeight="1" x14ac:dyDescent="0.4">
      <c r="A7" s="147" t="s">
        <v>717</v>
      </c>
      <c r="B7" s="147" t="s">
        <v>697</v>
      </c>
      <c r="C7" s="147" t="s">
        <v>687</v>
      </c>
      <c r="D7" s="147" t="s">
        <v>707</v>
      </c>
      <c r="E7" s="147" t="s">
        <v>698</v>
      </c>
      <c r="F7" s="147" t="s">
        <v>718</v>
      </c>
      <c r="G7" s="147" t="s">
        <v>708</v>
      </c>
      <c r="H7" s="147" t="s">
        <v>699</v>
      </c>
      <c r="I7" s="147" t="s">
        <v>719</v>
      </c>
      <c r="J7" s="148"/>
      <c r="K7" s="147" t="s">
        <v>757</v>
      </c>
      <c r="L7" s="147" t="s">
        <v>727</v>
      </c>
      <c r="M7" s="147" t="s">
        <v>737</v>
      </c>
      <c r="N7" s="147" t="s">
        <v>758</v>
      </c>
      <c r="O7" s="147" t="s">
        <v>738</v>
      </c>
      <c r="P7" s="147" t="s">
        <v>728</v>
      </c>
      <c r="Q7" s="147" t="s">
        <v>747</v>
      </c>
      <c r="R7" s="147" t="s">
        <v>759</v>
      </c>
      <c r="S7" s="147" t="s">
        <v>729</v>
      </c>
      <c r="T7" s="148"/>
      <c r="U7" s="147" t="s">
        <v>797</v>
      </c>
      <c r="V7" s="147" t="s">
        <v>767</v>
      </c>
      <c r="W7" s="147" t="s">
        <v>777</v>
      </c>
      <c r="X7" s="147" t="s">
        <v>798</v>
      </c>
      <c r="Y7" s="147" t="s">
        <v>778</v>
      </c>
      <c r="Z7" s="147" t="s">
        <v>768</v>
      </c>
      <c r="AA7" s="147" t="s">
        <v>787</v>
      </c>
      <c r="AB7" s="147" t="s">
        <v>799</v>
      </c>
      <c r="AC7" s="147" t="s">
        <v>769</v>
      </c>
    </row>
    <row r="8" spans="1:29" ht="31.5" customHeight="1" x14ac:dyDescent="0.4">
      <c r="A8" s="147" t="s">
        <v>720</v>
      </c>
      <c r="B8" s="147" t="s">
        <v>700</v>
      </c>
      <c r="C8" s="147" t="s">
        <v>709</v>
      </c>
      <c r="D8" s="147" t="s">
        <v>688</v>
      </c>
      <c r="E8" s="147" t="s">
        <v>710</v>
      </c>
      <c r="F8" s="147" t="s">
        <v>689</v>
      </c>
      <c r="G8" s="147" t="s">
        <v>690</v>
      </c>
      <c r="H8" s="147" t="s">
        <v>691</v>
      </c>
      <c r="I8" s="147" t="s">
        <v>711</v>
      </c>
      <c r="J8" s="148"/>
      <c r="K8" s="147" t="s">
        <v>739</v>
      </c>
      <c r="L8" s="147" t="s">
        <v>748</v>
      </c>
      <c r="M8" s="147" t="s">
        <v>730</v>
      </c>
      <c r="N8" s="147" t="s">
        <v>760</v>
      </c>
      <c r="O8" s="147" t="s">
        <v>749</v>
      </c>
      <c r="P8" s="147" t="s">
        <v>740</v>
      </c>
      <c r="Q8" s="147" t="s">
        <v>750</v>
      </c>
      <c r="R8" s="147" t="s">
        <v>751</v>
      </c>
      <c r="S8" s="147" t="s">
        <v>761</v>
      </c>
      <c r="T8" s="148"/>
      <c r="U8" s="147" t="s">
        <v>779</v>
      </c>
      <c r="V8" s="147" t="s">
        <v>788</v>
      </c>
      <c r="W8" s="147" t="s">
        <v>770</v>
      </c>
      <c r="X8" s="147" t="s">
        <v>800</v>
      </c>
      <c r="Y8" s="147" t="s">
        <v>789</v>
      </c>
      <c r="Z8" s="147" t="s">
        <v>780</v>
      </c>
      <c r="AA8" s="147" t="s">
        <v>790</v>
      </c>
      <c r="AB8" s="147" t="s">
        <v>791</v>
      </c>
      <c r="AC8" s="147" t="s">
        <v>801</v>
      </c>
    </row>
    <row r="9" spans="1:29" ht="31.5" customHeight="1" x14ac:dyDescent="0.4">
      <c r="A9" s="147" t="s">
        <v>721</v>
      </c>
      <c r="B9" s="147" t="s">
        <v>701</v>
      </c>
      <c r="C9" s="147" t="s">
        <v>692</v>
      </c>
      <c r="D9" s="147" t="s">
        <v>712</v>
      </c>
      <c r="E9" s="147" t="s">
        <v>722</v>
      </c>
      <c r="F9" s="147" t="s">
        <v>693</v>
      </c>
      <c r="G9" s="147" t="s">
        <v>723</v>
      </c>
      <c r="H9" s="147" t="s">
        <v>713</v>
      </c>
      <c r="I9" s="147" t="s">
        <v>724</v>
      </c>
      <c r="J9" s="148"/>
      <c r="K9" s="147" t="s">
        <v>731</v>
      </c>
      <c r="L9" s="147" t="s">
        <v>741</v>
      </c>
      <c r="M9" s="147" t="s">
        <v>742</v>
      </c>
      <c r="N9" s="147" t="s">
        <v>762</v>
      </c>
      <c r="O9" s="147" t="s">
        <v>752</v>
      </c>
      <c r="P9" s="147" t="s">
        <v>732</v>
      </c>
      <c r="Q9" s="147" t="s">
        <v>743</v>
      </c>
      <c r="R9" s="147" t="s">
        <v>733</v>
      </c>
      <c r="S9" s="147" t="s">
        <v>763</v>
      </c>
      <c r="T9" s="148"/>
      <c r="U9" s="147" t="s">
        <v>771</v>
      </c>
      <c r="V9" s="147" t="s">
        <v>781</v>
      </c>
      <c r="W9" s="147" t="s">
        <v>782</v>
      </c>
      <c r="X9" s="147" t="s">
        <v>802</v>
      </c>
      <c r="Y9" s="147" t="s">
        <v>792</v>
      </c>
      <c r="Z9" s="147" t="s">
        <v>772</v>
      </c>
      <c r="AA9" s="147" t="s">
        <v>783</v>
      </c>
      <c r="AB9" s="147" t="s">
        <v>773</v>
      </c>
      <c r="AC9" s="147" t="s">
        <v>803</v>
      </c>
    </row>
    <row r="10" spans="1:29" ht="31.5" customHeight="1" x14ac:dyDescent="0.4">
      <c r="A10" s="147" t="s">
        <v>702</v>
      </c>
      <c r="B10" s="147" t="s">
        <v>694</v>
      </c>
      <c r="C10" s="147" t="s">
        <v>725</v>
      </c>
      <c r="D10" s="147" t="s">
        <v>703</v>
      </c>
      <c r="E10" s="147" t="s">
        <v>695</v>
      </c>
      <c r="F10" s="147" t="s">
        <v>714</v>
      </c>
      <c r="G10" s="147" t="s">
        <v>704</v>
      </c>
      <c r="H10" s="147" t="s">
        <v>705</v>
      </c>
      <c r="I10" s="147" t="s">
        <v>715</v>
      </c>
      <c r="J10" s="148"/>
      <c r="K10" s="147" t="s">
        <v>734</v>
      </c>
      <c r="L10" s="147" t="s">
        <v>744</v>
      </c>
      <c r="M10" s="147" t="s">
        <v>745</v>
      </c>
      <c r="N10" s="147" t="s">
        <v>764</v>
      </c>
      <c r="O10" s="147" t="s">
        <v>753</v>
      </c>
      <c r="P10" s="147" t="s">
        <v>765</v>
      </c>
      <c r="Q10" s="147" t="s">
        <v>754</v>
      </c>
      <c r="R10" s="147" t="s">
        <v>735</v>
      </c>
      <c r="S10" s="147" t="s">
        <v>755</v>
      </c>
      <c r="T10" s="148"/>
      <c r="U10" s="147" t="s">
        <v>774</v>
      </c>
      <c r="V10" s="147" t="s">
        <v>784</v>
      </c>
      <c r="W10" s="147" t="s">
        <v>785</v>
      </c>
      <c r="X10" s="147" t="s">
        <v>804</v>
      </c>
      <c r="Y10" s="147" t="s">
        <v>793</v>
      </c>
      <c r="Z10" s="147" t="s">
        <v>805</v>
      </c>
      <c r="AA10" s="147" t="s">
        <v>794</v>
      </c>
      <c r="AB10" s="147" t="s">
        <v>775</v>
      </c>
      <c r="AC10" s="147" t="s">
        <v>795</v>
      </c>
    </row>
  </sheetData>
  <mergeCells count="3">
    <mergeCell ref="A1:I1"/>
    <mergeCell ref="K1:S1"/>
    <mergeCell ref="U1:AC1"/>
  </mergeCells>
  <pageMargins left="0.70866141732283472" right="0.70866141732283472" top="0.74803149606299213" bottom="0.74803149606299213" header="0.31496062992125984" footer="0.31496062992125984"/>
  <pageSetup paperSize="9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EA89-61AC-4EF9-9628-251B29691C87}">
  <dimension ref="A1:V50"/>
  <sheetViews>
    <sheetView topLeftCell="F1" workbookViewId="0">
      <selection activeCell="O10" sqref="F10:O10"/>
    </sheetView>
  </sheetViews>
  <sheetFormatPr baseColWidth="10" defaultRowHeight="14.5" x14ac:dyDescent="0.35"/>
  <cols>
    <col min="1" max="5" width="0" hidden="1" customWidth="1"/>
    <col min="6" max="6" width="14.453125" bestFit="1" customWidth="1"/>
    <col min="7" max="7" width="14.1796875" customWidth="1"/>
    <col min="8" max="8" width="9.453125" bestFit="1" customWidth="1"/>
    <col min="9" max="10" width="0" hidden="1" customWidth="1"/>
    <col min="11" max="11" width="7.1796875" bestFit="1" customWidth="1"/>
    <col min="12" max="12" width="4" bestFit="1" customWidth="1"/>
    <col min="13" max="13" width="11.54296875" customWidth="1"/>
    <col min="14" max="14" width="5.81640625" bestFit="1" customWidth="1"/>
    <col min="15" max="15" width="10.54296875" bestFit="1" customWidth="1"/>
    <col min="18" max="18" width="14.81640625" bestFit="1" customWidth="1"/>
    <col min="19" max="19" width="30.1796875" style="40" customWidth="1"/>
    <col min="21" max="21" width="20.1796875" bestFit="1" customWidth="1"/>
    <col min="22" max="22" width="26.1796875" bestFit="1" customWidth="1"/>
    <col min="23" max="23" width="14.453125" customWidth="1"/>
  </cols>
  <sheetData>
    <row r="1" spans="1:22" x14ac:dyDescent="0.35">
      <c r="A1" s="2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9" t="s">
        <v>12</v>
      </c>
      <c r="N1" s="29" t="s">
        <v>13</v>
      </c>
      <c r="O1" s="28" t="s">
        <v>14</v>
      </c>
      <c r="P1" s="28" t="s">
        <v>15</v>
      </c>
      <c r="Q1" s="28" t="s">
        <v>251</v>
      </c>
      <c r="R1" s="28" t="s">
        <v>252</v>
      </c>
      <c r="S1" s="37" t="s">
        <v>16</v>
      </c>
      <c r="T1" s="9" t="s">
        <v>237</v>
      </c>
      <c r="U1" t="s">
        <v>253</v>
      </c>
      <c r="V1" t="s">
        <v>254</v>
      </c>
    </row>
    <row r="2" spans="1:22" x14ac:dyDescent="0.35">
      <c r="A2" s="26">
        <v>2</v>
      </c>
      <c r="B2" s="20">
        <v>5</v>
      </c>
      <c r="C2" s="20" t="s">
        <v>17</v>
      </c>
      <c r="D2" s="20">
        <v>3</v>
      </c>
      <c r="E2" s="20" t="s">
        <v>24</v>
      </c>
      <c r="F2" s="30" t="s">
        <v>19</v>
      </c>
      <c r="G2" s="30" t="s">
        <v>20</v>
      </c>
      <c r="H2" s="30" t="s">
        <v>25</v>
      </c>
      <c r="I2" s="30" t="s">
        <v>28</v>
      </c>
      <c r="J2" s="30" t="s">
        <v>27</v>
      </c>
      <c r="K2" s="30">
        <v>2</v>
      </c>
      <c r="L2" s="30">
        <v>1</v>
      </c>
      <c r="M2" s="31">
        <v>44483</v>
      </c>
      <c r="N2" s="32" t="b">
        <v>1</v>
      </c>
      <c r="O2" s="33">
        <v>4</v>
      </c>
      <c r="P2" s="30"/>
      <c r="Q2" s="30"/>
      <c r="R2" s="30"/>
      <c r="S2" s="38"/>
      <c r="T2" s="10" t="s">
        <v>21</v>
      </c>
      <c r="U2" s="13">
        <v>14</v>
      </c>
      <c r="V2" s="13">
        <v>10</v>
      </c>
    </row>
    <row r="3" spans="1:22" x14ac:dyDescent="0.35">
      <c r="A3" s="27">
        <v>5</v>
      </c>
      <c r="B3" s="16">
        <v>5</v>
      </c>
      <c r="C3" s="16" t="s">
        <v>17</v>
      </c>
      <c r="D3" s="16">
        <v>9</v>
      </c>
      <c r="E3" s="16" t="s">
        <v>31</v>
      </c>
      <c r="F3" s="34" t="s">
        <v>19</v>
      </c>
      <c r="G3" s="34" t="s">
        <v>20</v>
      </c>
      <c r="H3" s="34" t="s">
        <v>21</v>
      </c>
      <c r="I3" s="34" t="s">
        <v>28</v>
      </c>
      <c r="J3" s="34" t="s">
        <v>27</v>
      </c>
      <c r="K3" s="34"/>
      <c r="L3" s="34">
        <v>2</v>
      </c>
      <c r="M3" s="35"/>
      <c r="N3" s="32" t="b">
        <v>1</v>
      </c>
      <c r="O3" s="36">
        <v>10</v>
      </c>
      <c r="P3" s="34"/>
      <c r="Q3" s="34"/>
      <c r="R3" s="34"/>
      <c r="S3" s="39"/>
      <c r="T3" s="11" t="s">
        <v>39</v>
      </c>
      <c r="U3" s="13">
        <v>9</v>
      </c>
      <c r="V3" s="13">
        <v>6</v>
      </c>
    </row>
    <row r="4" spans="1:22" x14ac:dyDescent="0.35">
      <c r="A4" s="26">
        <v>3</v>
      </c>
      <c r="B4" s="20">
        <v>4</v>
      </c>
      <c r="C4" s="20" t="s">
        <v>17</v>
      </c>
      <c r="D4" s="20">
        <v>21</v>
      </c>
      <c r="E4" s="20" t="s">
        <v>38</v>
      </c>
      <c r="F4" s="30" t="s">
        <v>19</v>
      </c>
      <c r="G4" s="30" t="s">
        <v>39</v>
      </c>
      <c r="H4" s="30" t="s">
        <v>25</v>
      </c>
      <c r="I4" s="30" t="s">
        <v>28</v>
      </c>
      <c r="J4" s="30" t="s">
        <v>27</v>
      </c>
      <c r="K4" s="30">
        <v>2</v>
      </c>
      <c r="L4" s="30">
        <v>1</v>
      </c>
      <c r="M4" s="31">
        <v>44481</v>
      </c>
      <c r="N4" s="32" t="b">
        <v>1</v>
      </c>
      <c r="O4" s="33">
        <v>22</v>
      </c>
      <c r="P4" s="30"/>
      <c r="Q4" s="30">
        <v>1</v>
      </c>
      <c r="R4" s="30">
        <v>0</v>
      </c>
      <c r="S4" s="38"/>
      <c r="T4" s="12" t="s">
        <v>121</v>
      </c>
      <c r="U4" s="13">
        <v>4</v>
      </c>
      <c r="V4" s="13">
        <v>5</v>
      </c>
    </row>
    <row r="5" spans="1:22" x14ac:dyDescent="0.35">
      <c r="A5" s="27">
        <v>8</v>
      </c>
      <c r="B5" s="16">
        <v>4</v>
      </c>
      <c r="C5" s="16" t="s">
        <v>17</v>
      </c>
      <c r="D5" s="16">
        <v>31</v>
      </c>
      <c r="E5" s="16" t="s">
        <v>44</v>
      </c>
      <c r="F5" s="34" t="s">
        <v>19</v>
      </c>
      <c r="G5" s="34" t="s">
        <v>20</v>
      </c>
      <c r="H5" s="34" t="s">
        <v>21</v>
      </c>
      <c r="I5" s="34" t="s">
        <v>28</v>
      </c>
      <c r="J5" s="34" t="s">
        <v>27</v>
      </c>
      <c r="K5" s="34">
        <v>2</v>
      </c>
      <c r="L5" s="34">
        <v>1</v>
      </c>
      <c r="M5" s="35">
        <v>44481</v>
      </c>
      <c r="N5" s="32" t="b">
        <v>1</v>
      </c>
      <c r="O5" s="36">
        <v>32</v>
      </c>
      <c r="P5" s="34"/>
      <c r="Q5" s="34">
        <v>1</v>
      </c>
      <c r="R5" s="34">
        <v>0</v>
      </c>
      <c r="S5" s="39"/>
      <c r="T5" s="12" t="s">
        <v>19</v>
      </c>
      <c r="U5" s="13">
        <v>5</v>
      </c>
      <c r="V5" s="13">
        <v>1</v>
      </c>
    </row>
    <row r="6" spans="1:22" x14ac:dyDescent="0.35">
      <c r="A6" s="26">
        <v>10</v>
      </c>
      <c r="B6" s="20">
        <v>4</v>
      </c>
      <c r="C6" s="20" t="s">
        <v>17</v>
      </c>
      <c r="D6" s="20">
        <v>35</v>
      </c>
      <c r="E6" s="20" t="s">
        <v>46</v>
      </c>
      <c r="F6" s="30" t="s">
        <v>19</v>
      </c>
      <c r="G6" s="30" t="s">
        <v>20</v>
      </c>
      <c r="H6" s="30" t="s">
        <v>25</v>
      </c>
      <c r="I6" s="30" t="s">
        <v>28</v>
      </c>
      <c r="J6" s="30" t="s">
        <v>27</v>
      </c>
      <c r="K6" s="30">
        <v>2</v>
      </c>
      <c r="L6" s="30">
        <v>1</v>
      </c>
      <c r="M6" s="31">
        <v>44481</v>
      </c>
      <c r="N6" s="32" t="b">
        <v>1</v>
      </c>
      <c r="O6" s="33">
        <v>36</v>
      </c>
      <c r="P6" s="30"/>
      <c r="Q6" s="30">
        <v>0</v>
      </c>
      <c r="R6" s="30">
        <v>1</v>
      </c>
      <c r="S6" s="38"/>
      <c r="T6" s="11" t="s">
        <v>20</v>
      </c>
      <c r="U6" s="13">
        <v>5</v>
      </c>
      <c r="V6" s="13">
        <v>4</v>
      </c>
    </row>
    <row r="7" spans="1:22" x14ac:dyDescent="0.35">
      <c r="A7" s="27">
        <v>17</v>
      </c>
      <c r="B7" s="16">
        <v>4</v>
      </c>
      <c r="C7" s="16" t="s">
        <v>17</v>
      </c>
      <c r="D7" s="16">
        <v>49</v>
      </c>
      <c r="E7" s="16" t="s">
        <v>57</v>
      </c>
      <c r="F7" s="34" t="s">
        <v>19</v>
      </c>
      <c r="G7" s="34" t="s">
        <v>39</v>
      </c>
      <c r="H7" s="34" t="s">
        <v>21</v>
      </c>
      <c r="I7" s="34" t="s">
        <v>28</v>
      </c>
      <c r="J7" s="34" t="s">
        <v>23</v>
      </c>
      <c r="K7" s="34">
        <v>2</v>
      </c>
      <c r="L7" s="34"/>
      <c r="M7" s="35">
        <v>44481</v>
      </c>
      <c r="N7" s="32" t="b">
        <v>1</v>
      </c>
      <c r="O7" s="36">
        <v>50</v>
      </c>
      <c r="P7" s="34"/>
      <c r="Q7" s="34">
        <v>1</v>
      </c>
      <c r="R7" s="34">
        <v>0</v>
      </c>
      <c r="S7" s="39"/>
      <c r="T7" s="12" t="s">
        <v>121</v>
      </c>
      <c r="U7" s="13">
        <v>3</v>
      </c>
      <c r="V7" s="13">
        <v>4</v>
      </c>
    </row>
    <row r="8" spans="1:22" x14ac:dyDescent="0.35">
      <c r="A8" s="26">
        <v>18</v>
      </c>
      <c r="B8" s="20">
        <v>4</v>
      </c>
      <c r="C8" s="20" t="s">
        <v>17</v>
      </c>
      <c r="D8" s="20">
        <v>51</v>
      </c>
      <c r="E8" s="20" t="s">
        <v>58</v>
      </c>
      <c r="F8" s="30" t="s">
        <v>19</v>
      </c>
      <c r="G8" s="30" t="s">
        <v>39</v>
      </c>
      <c r="H8" s="30" t="s">
        <v>25</v>
      </c>
      <c r="I8" s="30" t="s">
        <v>28</v>
      </c>
      <c r="J8" s="30"/>
      <c r="K8" s="30">
        <v>2</v>
      </c>
      <c r="L8" s="30"/>
      <c r="M8" s="31">
        <v>44483</v>
      </c>
      <c r="N8" s="32" t="b">
        <v>0</v>
      </c>
      <c r="O8" s="33">
        <v>51</v>
      </c>
      <c r="P8" s="30"/>
      <c r="Q8" s="30">
        <v>0</v>
      </c>
      <c r="R8" s="30">
        <v>0</v>
      </c>
      <c r="S8" s="38"/>
      <c r="T8" s="12" t="s">
        <v>19</v>
      </c>
      <c r="U8" s="13">
        <v>2</v>
      </c>
      <c r="V8" s="13">
        <v>0</v>
      </c>
    </row>
    <row r="9" spans="1:22" x14ac:dyDescent="0.35">
      <c r="A9" s="27">
        <v>18</v>
      </c>
      <c r="B9" s="16">
        <v>4</v>
      </c>
      <c r="C9" s="16" t="s">
        <v>17</v>
      </c>
      <c r="D9" s="16">
        <v>51</v>
      </c>
      <c r="E9" s="16" t="s">
        <v>58</v>
      </c>
      <c r="F9" s="34" t="s">
        <v>19</v>
      </c>
      <c r="G9" s="34" t="s">
        <v>39</v>
      </c>
      <c r="H9" s="34" t="s">
        <v>25</v>
      </c>
      <c r="I9" s="34" t="s">
        <v>28</v>
      </c>
      <c r="J9" s="34" t="s">
        <v>59</v>
      </c>
      <c r="K9" s="34">
        <v>2</v>
      </c>
      <c r="L9" s="34"/>
      <c r="M9" s="35">
        <v>44483</v>
      </c>
      <c r="N9" s="32" t="b">
        <v>1</v>
      </c>
      <c r="O9" s="36">
        <v>52</v>
      </c>
      <c r="P9" s="34"/>
      <c r="Q9" s="34">
        <v>1</v>
      </c>
      <c r="R9" s="34">
        <v>0</v>
      </c>
      <c r="S9" s="39"/>
      <c r="T9" s="10" t="s">
        <v>25</v>
      </c>
      <c r="U9" s="13">
        <v>9</v>
      </c>
      <c r="V9" s="13">
        <v>8</v>
      </c>
    </row>
    <row r="10" spans="1:22" x14ac:dyDescent="0.35">
      <c r="A10" s="26">
        <v>22</v>
      </c>
      <c r="B10" s="20">
        <v>4</v>
      </c>
      <c r="C10" s="20" t="s">
        <v>17</v>
      </c>
      <c r="D10" s="20">
        <v>59</v>
      </c>
      <c r="E10" s="20" t="s">
        <v>63</v>
      </c>
      <c r="F10" s="30" t="s">
        <v>19</v>
      </c>
      <c r="G10" s="30" t="s">
        <v>39</v>
      </c>
      <c r="H10" s="30" t="s">
        <v>25</v>
      </c>
      <c r="I10" s="30" t="s">
        <v>28</v>
      </c>
      <c r="J10" s="30" t="s">
        <v>64</v>
      </c>
      <c r="K10" s="30">
        <v>2</v>
      </c>
      <c r="L10" s="30"/>
      <c r="M10" s="31">
        <v>44481</v>
      </c>
      <c r="N10" s="32" t="b">
        <v>1</v>
      </c>
      <c r="O10" s="33">
        <v>60</v>
      </c>
      <c r="P10" s="30"/>
      <c r="Q10" s="30">
        <v>0</v>
      </c>
      <c r="R10" s="30">
        <v>0</v>
      </c>
      <c r="S10" s="38"/>
      <c r="T10" s="11" t="s">
        <v>39</v>
      </c>
      <c r="U10" s="13">
        <v>6</v>
      </c>
      <c r="V10" s="13">
        <v>4</v>
      </c>
    </row>
    <row r="11" spans="1:22" x14ac:dyDescent="0.35">
      <c r="A11" s="27">
        <v>2</v>
      </c>
      <c r="B11" s="16">
        <v>3</v>
      </c>
      <c r="C11" s="16" t="s">
        <v>17</v>
      </c>
      <c r="D11" s="16">
        <v>63</v>
      </c>
      <c r="E11" s="16" t="s">
        <v>66</v>
      </c>
      <c r="F11" s="34" t="s">
        <v>19</v>
      </c>
      <c r="G11" s="34" t="s">
        <v>20</v>
      </c>
      <c r="H11" s="34" t="s">
        <v>25</v>
      </c>
      <c r="I11" s="34" t="s">
        <v>28</v>
      </c>
      <c r="J11" s="34" t="s">
        <v>27</v>
      </c>
      <c r="K11" s="34"/>
      <c r="L11" s="34">
        <v>2</v>
      </c>
      <c r="M11" s="35"/>
      <c r="N11" s="32" t="b">
        <v>1</v>
      </c>
      <c r="O11" s="36">
        <v>64</v>
      </c>
      <c r="P11" s="34" t="s">
        <v>68</v>
      </c>
      <c r="Q11" s="34"/>
      <c r="R11" s="34"/>
      <c r="S11" s="39" t="s">
        <v>218</v>
      </c>
      <c r="T11" s="12" t="s">
        <v>121</v>
      </c>
      <c r="U11" s="13">
        <v>3</v>
      </c>
      <c r="V11" s="13">
        <v>4</v>
      </c>
    </row>
    <row r="12" spans="1:22" x14ac:dyDescent="0.35">
      <c r="A12" s="26">
        <v>5</v>
      </c>
      <c r="B12" s="20">
        <v>3</v>
      </c>
      <c r="C12" s="20" t="s">
        <v>17</v>
      </c>
      <c r="D12" s="20">
        <v>69</v>
      </c>
      <c r="E12" s="20" t="s">
        <v>73</v>
      </c>
      <c r="F12" s="30" t="s">
        <v>19</v>
      </c>
      <c r="G12" s="30" t="s">
        <v>20</v>
      </c>
      <c r="H12" s="30" t="s">
        <v>21</v>
      </c>
      <c r="I12" s="30" t="s">
        <v>28</v>
      </c>
      <c r="J12" s="30" t="s">
        <v>27</v>
      </c>
      <c r="K12" s="30">
        <v>2</v>
      </c>
      <c r="L12" s="30">
        <v>2</v>
      </c>
      <c r="M12" s="31">
        <v>44481</v>
      </c>
      <c r="N12" s="32" t="b">
        <v>1</v>
      </c>
      <c r="O12" s="33">
        <v>70</v>
      </c>
      <c r="P12" s="30"/>
      <c r="Q12" s="30">
        <v>1</v>
      </c>
      <c r="R12" s="30">
        <v>0</v>
      </c>
      <c r="S12" s="38"/>
      <c r="T12" s="12" t="s">
        <v>19</v>
      </c>
      <c r="U12" s="13">
        <v>3</v>
      </c>
      <c r="V12" s="13">
        <v>0</v>
      </c>
    </row>
    <row r="13" spans="1:22" x14ac:dyDescent="0.35">
      <c r="A13" s="27">
        <v>7</v>
      </c>
      <c r="B13" s="16">
        <v>3</v>
      </c>
      <c r="C13" s="16" t="s">
        <v>17</v>
      </c>
      <c r="D13" s="16">
        <v>73</v>
      </c>
      <c r="E13" s="16" t="s">
        <v>75</v>
      </c>
      <c r="F13" s="34" t="s">
        <v>19</v>
      </c>
      <c r="G13" s="34" t="s">
        <v>39</v>
      </c>
      <c r="H13" s="34" t="s">
        <v>21</v>
      </c>
      <c r="I13" s="34" t="s">
        <v>28</v>
      </c>
      <c r="J13" s="34" t="s">
        <v>27</v>
      </c>
      <c r="K13" s="34">
        <v>2</v>
      </c>
      <c r="L13" s="34">
        <v>2</v>
      </c>
      <c r="M13" s="35">
        <v>44481</v>
      </c>
      <c r="N13" s="32" t="b">
        <v>1</v>
      </c>
      <c r="O13" s="36">
        <v>74</v>
      </c>
      <c r="P13" s="34"/>
      <c r="Q13" s="34">
        <v>1</v>
      </c>
      <c r="R13" s="34">
        <v>0</v>
      </c>
      <c r="S13" s="39"/>
      <c r="T13" s="11" t="s">
        <v>20</v>
      </c>
      <c r="U13" s="13">
        <v>3</v>
      </c>
      <c r="V13" s="13">
        <v>4</v>
      </c>
    </row>
    <row r="14" spans="1:22" x14ac:dyDescent="0.35">
      <c r="A14" s="26">
        <v>9</v>
      </c>
      <c r="B14" s="20">
        <v>3</v>
      </c>
      <c r="C14" s="20" t="s">
        <v>17</v>
      </c>
      <c r="D14" s="20">
        <v>77</v>
      </c>
      <c r="E14" s="20" t="s">
        <v>77</v>
      </c>
      <c r="F14" s="30" t="s">
        <v>19</v>
      </c>
      <c r="G14" s="30" t="s">
        <v>39</v>
      </c>
      <c r="H14" s="30" t="s">
        <v>25</v>
      </c>
      <c r="I14" s="30" t="s">
        <v>28</v>
      </c>
      <c r="J14" s="30" t="s">
        <v>27</v>
      </c>
      <c r="K14" s="30">
        <v>2</v>
      </c>
      <c r="L14" s="30">
        <v>2</v>
      </c>
      <c r="M14" s="31">
        <v>44481</v>
      </c>
      <c r="N14" s="32" t="b">
        <v>1</v>
      </c>
      <c r="O14" s="33">
        <v>78</v>
      </c>
      <c r="P14" s="30"/>
      <c r="Q14" s="30">
        <v>0</v>
      </c>
      <c r="R14" s="30">
        <v>0</v>
      </c>
      <c r="S14" s="38"/>
      <c r="T14" s="12" t="s">
        <v>121</v>
      </c>
      <c r="U14" s="13">
        <v>2</v>
      </c>
      <c r="V14" s="13">
        <v>2</v>
      </c>
    </row>
    <row r="15" spans="1:22" x14ac:dyDescent="0.35">
      <c r="A15" s="27">
        <v>11</v>
      </c>
      <c r="B15" s="16">
        <v>3</v>
      </c>
      <c r="C15" s="16" t="s">
        <v>17</v>
      </c>
      <c r="D15" s="16">
        <v>81</v>
      </c>
      <c r="E15" s="16" t="s">
        <v>79</v>
      </c>
      <c r="F15" s="34" t="s">
        <v>19</v>
      </c>
      <c r="G15" s="34" t="s">
        <v>39</v>
      </c>
      <c r="H15" s="34" t="s">
        <v>21</v>
      </c>
      <c r="I15" s="34" t="s">
        <v>28</v>
      </c>
      <c r="J15" s="34" t="s">
        <v>27</v>
      </c>
      <c r="K15" s="34">
        <v>2</v>
      </c>
      <c r="L15" s="34">
        <v>3</v>
      </c>
      <c r="M15" s="35">
        <v>44482</v>
      </c>
      <c r="N15" s="32" t="b">
        <v>1</v>
      </c>
      <c r="O15" s="36">
        <v>82</v>
      </c>
      <c r="P15" s="34"/>
      <c r="Q15" s="34">
        <v>1</v>
      </c>
      <c r="R15" s="34">
        <v>0</v>
      </c>
      <c r="S15" s="39"/>
      <c r="T15" s="12" t="s">
        <v>19</v>
      </c>
      <c r="U15" s="13">
        <v>1</v>
      </c>
      <c r="V15" s="13">
        <v>2</v>
      </c>
    </row>
    <row r="16" spans="1:22" x14ac:dyDescent="0.35">
      <c r="A16" s="26">
        <v>13</v>
      </c>
      <c r="B16" s="20">
        <v>3</v>
      </c>
      <c r="C16" s="20" t="s">
        <v>17</v>
      </c>
      <c r="D16" s="20">
        <v>85</v>
      </c>
      <c r="E16" s="20" t="s">
        <v>81</v>
      </c>
      <c r="F16" s="30" t="s">
        <v>19</v>
      </c>
      <c r="G16" s="30" t="s">
        <v>20</v>
      </c>
      <c r="H16" s="30" t="s">
        <v>21</v>
      </c>
      <c r="I16" s="30" t="s">
        <v>28</v>
      </c>
      <c r="J16" s="30" t="s">
        <v>27</v>
      </c>
      <c r="K16" s="30">
        <v>2</v>
      </c>
      <c r="L16" s="30">
        <v>3</v>
      </c>
      <c r="M16" s="31">
        <v>44482</v>
      </c>
      <c r="N16" s="32" t="b">
        <v>1</v>
      </c>
      <c r="O16" s="33">
        <v>86</v>
      </c>
      <c r="P16" s="30"/>
      <c r="Q16" s="30">
        <v>0</v>
      </c>
      <c r="R16" s="30">
        <v>0</v>
      </c>
      <c r="S16" s="38"/>
    </row>
    <row r="17" spans="1:19" x14ac:dyDescent="0.35">
      <c r="A17" s="27">
        <v>15</v>
      </c>
      <c r="B17" s="16">
        <v>3</v>
      </c>
      <c r="C17" s="16" t="s">
        <v>17</v>
      </c>
      <c r="D17" s="16">
        <v>89</v>
      </c>
      <c r="E17" s="16" t="s">
        <v>83</v>
      </c>
      <c r="F17" s="34" t="s">
        <v>19</v>
      </c>
      <c r="G17" s="34" t="s">
        <v>20</v>
      </c>
      <c r="H17" s="34" t="s">
        <v>25</v>
      </c>
      <c r="I17" s="34" t="s">
        <v>28</v>
      </c>
      <c r="J17" s="34" t="s">
        <v>27</v>
      </c>
      <c r="K17" s="34">
        <v>2</v>
      </c>
      <c r="L17" s="34">
        <v>3</v>
      </c>
      <c r="M17" s="35">
        <v>44482</v>
      </c>
      <c r="N17" s="32" t="b">
        <v>1</v>
      </c>
      <c r="O17" s="36">
        <v>90</v>
      </c>
      <c r="P17" s="34"/>
      <c r="Q17" s="34">
        <v>0</v>
      </c>
      <c r="R17" s="34">
        <v>0</v>
      </c>
      <c r="S17" s="39"/>
    </row>
    <row r="18" spans="1:19" x14ac:dyDescent="0.35">
      <c r="A18" s="26">
        <v>18</v>
      </c>
      <c r="B18" s="20">
        <v>3</v>
      </c>
      <c r="C18" s="20" t="s">
        <v>17</v>
      </c>
      <c r="D18" s="20">
        <v>95</v>
      </c>
      <c r="E18" s="20" t="s">
        <v>86</v>
      </c>
      <c r="F18" s="30" t="s">
        <v>19</v>
      </c>
      <c r="G18" s="30" t="s">
        <v>39</v>
      </c>
      <c r="H18" s="30" t="s">
        <v>25</v>
      </c>
      <c r="I18" s="30" t="s">
        <v>28</v>
      </c>
      <c r="J18" s="30" t="s">
        <v>27</v>
      </c>
      <c r="K18" s="30">
        <v>2</v>
      </c>
      <c r="L18" s="30">
        <v>3</v>
      </c>
      <c r="M18" s="31">
        <v>44482</v>
      </c>
      <c r="N18" s="32" t="b">
        <v>1</v>
      </c>
      <c r="O18" s="33">
        <v>96</v>
      </c>
      <c r="P18" s="30"/>
      <c r="Q18" s="30">
        <v>1</v>
      </c>
      <c r="R18" s="30">
        <v>0</v>
      </c>
      <c r="S18" s="38"/>
    </row>
    <row r="19" spans="1:19" x14ac:dyDescent="0.35">
      <c r="A19" s="27">
        <v>21</v>
      </c>
      <c r="B19" s="16">
        <v>3</v>
      </c>
      <c r="C19" s="16" t="s">
        <v>17</v>
      </c>
      <c r="D19" s="16">
        <v>101</v>
      </c>
      <c r="E19" s="16" t="s">
        <v>91</v>
      </c>
      <c r="F19" s="34" t="s">
        <v>19</v>
      </c>
      <c r="G19" s="34" t="s">
        <v>20</v>
      </c>
      <c r="H19" s="34" t="s">
        <v>21</v>
      </c>
      <c r="I19" s="34" t="s">
        <v>28</v>
      </c>
      <c r="J19" s="34" t="s">
        <v>27</v>
      </c>
      <c r="K19" s="34">
        <v>2</v>
      </c>
      <c r="L19" s="34"/>
      <c r="M19" s="35">
        <v>44482</v>
      </c>
      <c r="N19" s="32" t="b">
        <v>1</v>
      </c>
      <c r="O19" s="36">
        <v>102</v>
      </c>
      <c r="P19" s="34"/>
      <c r="Q19" s="34">
        <v>0</v>
      </c>
      <c r="R19" s="34">
        <v>0</v>
      </c>
      <c r="S19" s="39"/>
    </row>
    <row r="20" spans="1:19" x14ac:dyDescent="0.35">
      <c r="A20" s="26">
        <v>3</v>
      </c>
      <c r="B20" s="20">
        <v>2</v>
      </c>
      <c r="C20" s="20" t="s">
        <v>17</v>
      </c>
      <c r="D20" s="20">
        <v>107</v>
      </c>
      <c r="E20" s="20" t="s">
        <v>94</v>
      </c>
      <c r="F20" s="30" t="s">
        <v>19</v>
      </c>
      <c r="G20" s="30" t="s">
        <v>39</v>
      </c>
      <c r="H20" s="30" t="s">
        <v>21</v>
      </c>
      <c r="I20" s="30" t="s">
        <v>28</v>
      </c>
      <c r="J20" s="30" t="s">
        <v>27</v>
      </c>
      <c r="K20" s="30">
        <v>2</v>
      </c>
      <c r="L20" s="30">
        <v>4</v>
      </c>
      <c r="M20" s="31">
        <v>44482</v>
      </c>
      <c r="N20" s="32" t="b">
        <v>1</v>
      </c>
      <c r="O20" s="33">
        <v>108</v>
      </c>
      <c r="P20" s="30"/>
      <c r="Q20" s="30">
        <v>1</v>
      </c>
      <c r="R20" s="30">
        <v>1</v>
      </c>
      <c r="S20" s="38"/>
    </row>
    <row r="21" spans="1:19" x14ac:dyDescent="0.35">
      <c r="A21" s="27">
        <v>6</v>
      </c>
      <c r="B21" s="16">
        <v>2</v>
      </c>
      <c r="C21" s="16" t="s">
        <v>17</v>
      </c>
      <c r="D21" s="16">
        <v>113</v>
      </c>
      <c r="E21" s="16" t="s">
        <v>97</v>
      </c>
      <c r="F21" s="34" t="s">
        <v>19</v>
      </c>
      <c r="G21" s="34" t="s">
        <v>39</v>
      </c>
      <c r="H21" s="34" t="s">
        <v>25</v>
      </c>
      <c r="I21" s="34" t="s">
        <v>28</v>
      </c>
      <c r="J21" s="34" t="s">
        <v>27</v>
      </c>
      <c r="K21" s="34">
        <v>2</v>
      </c>
      <c r="L21" s="34">
        <v>4</v>
      </c>
      <c r="M21" s="35">
        <v>44483</v>
      </c>
      <c r="N21" s="32" t="b">
        <v>1</v>
      </c>
      <c r="O21" s="36">
        <v>114</v>
      </c>
      <c r="P21" s="34" t="s">
        <v>99</v>
      </c>
      <c r="Q21" s="34">
        <v>0</v>
      </c>
      <c r="R21" s="34">
        <v>0</v>
      </c>
      <c r="S21" s="39"/>
    </row>
    <row r="22" spans="1:19" x14ac:dyDescent="0.35">
      <c r="A22" s="26">
        <v>8</v>
      </c>
      <c r="B22" s="20">
        <v>2</v>
      </c>
      <c r="C22" s="20" t="s">
        <v>17</v>
      </c>
      <c r="D22" s="20">
        <v>117</v>
      </c>
      <c r="E22" s="20" t="s">
        <v>101</v>
      </c>
      <c r="F22" s="30" t="s">
        <v>19</v>
      </c>
      <c r="G22" s="30" t="s">
        <v>20</v>
      </c>
      <c r="H22" s="30" t="s">
        <v>25</v>
      </c>
      <c r="I22" s="30" t="s">
        <v>28</v>
      </c>
      <c r="J22" s="30" t="s">
        <v>27</v>
      </c>
      <c r="K22" s="30">
        <v>2</v>
      </c>
      <c r="L22" s="30">
        <v>4</v>
      </c>
      <c r="M22" s="31">
        <v>44482</v>
      </c>
      <c r="N22" s="32" t="b">
        <v>1</v>
      </c>
      <c r="O22" s="33">
        <v>118</v>
      </c>
      <c r="P22" s="30"/>
      <c r="Q22" s="30">
        <v>2</v>
      </c>
      <c r="R22" s="30">
        <v>0</v>
      </c>
      <c r="S22" s="42" t="s">
        <v>256</v>
      </c>
    </row>
    <row r="23" spans="1:19" x14ac:dyDescent="0.35">
      <c r="A23" s="27">
        <v>10</v>
      </c>
      <c r="B23" s="16">
        <v>2</v>
      </c>
      <c r="C23" s="16" t="s">
        <v>17</v>
      </c>
      <c r="D23" s="16">
        <v>121</v>
      </c>
      <c r="E23" s="16" t="s">
        <v>103</v>
      </c>
      <c r="F23" s="34" t="s">
        <v>19</v>
      </c>
      <c r="G23" s="34" t="s">
        <v>20</v>
      </c>
      <c r="H23" s="34" t="s">
        <v>21</v>
      </c>
      <c r="I23" s="34" t="s">
        <v>28</v>
      </c>
      <c r="J23" s="34" t="s">
        <v>27</v>
      </c>
      <c r="K23" s="34">
        <v>2</v>
      </c>
      <c r="L23" s="34">
        <v>4</v>
      </c>
      <c r="M23" s="35">
        <v>44482</v>
      </c>
      <c r="N23" s="32" t="b">
        <v>1</v>
      </c>
      <c r="O23" s="36">
        <v>122</v>
      </c>
      <c r="P23" s="34"/>
      <c r="Q23" s="34">
        <v>0</v>
      </c>
      <c r="R23" s="34">
        <v>0</v>
      </c>
      <c r="S23" s="39" t="s">
        <v>257</v>
      </c>
    </row>
    <row r="24" spans="1:19" x14ac:dyDescent="0.35">
      <c r="A24" s="26">
        <v>11</v>
      </c>
      <c r="B24" s="20">
        <v>2</v>
      </c>
      <c r="C24" s="20" t="s">
        <v>17</v>
      </c>
      <c r="D24" s="20">
        <v>123</v>
      </c>
      <c r="E24" s="20" t="s">
        <v>104</v>
      </c>
      <c r="F24" s="30" t="s">
        <v>19</v>
      </c>
      <c r="G24" s="30" t="s">
        <v>39</v>
      </c>
      <c r="H24" s="30" t="s">
        <v>25</v>
      </c>
      <c r="I24" s="30" t="s">
        <v>28</v>
      </c>
      <c r="J24" s="30" t="s">
        <v>27</v>
      </c>
      <c r="K24" s="30">
        <v>2</v>
      </c>
      <c r="L24" s="30">
        <v>5</v>
      </c>
      <c r="M24" s="31">
        <v>44483</v>
      </c>
      <c r="N24" s="32" t="b">
        <v>1</v>
      </c>
      <c r="O24" s="33">
        <v>124</v>
      </c>
      <c r="P24" s="30"/>
      <c r="Q24" s="30">
        <v>0</v>
      </c>
      <c r="R24" s="30">
        <v>0</v>
      </c>
      <c r="S24" s="38"/>
    </row>
    <row r="25" spans="1:19" x14ac:dyDescent="0.35">
      <c r="A25" s="27">
        <v>12</v>
      </c>
      <c r="B25" s="16">
        <v>2</v>
      </c>
      <c r="C25" s="16" t="s">
        <v>17</v>
      </c>
      <c r="D25" s="16">
        <v>125</v>
      </c>
      <c r="E25" s="16" t="s">
        <v>105</v>
      </c>
      <c r="F25" s="34" t="s">
        <v>19</v>
      </c>
      <c r="G25" s="34" t="s">
        <v>20</v>
      </c>
      <c r="H25" s="34" t="s">
        <v>25</v>
      </c>
      <c r="I25" s="34" t="s">
        <v>28</v>
      </c>
      <c r="J25" s="34" t="s">
        <v>27</v>
      </c>
      <c r="K25" s="34">
        <v>2</v>
      </c>
      <c r="L25" s="34">
        <v>5</v>
      </c>
      <c r="M25" s="35">
        <v>44483</v>
      </c>
      <c r="N25" s="32" t="b">
        <v>1</v>
      </c>
      <c r="O25" s="36">
        <v>126</v>
      </c>
      <c r="P25" s="34"/>
      <c r="Q25" s="34">
        <v>0</v>
      </c>
      <c r="R25" s="34">
        <v>0</v>
      </c>
      <c r="S25" s="39"/>
    </row>
    <row r="26" spans="1:19" ht="43.5" x14ac:dyDescent="0.35">
      <c r="A26" s="26">
        <v>14</v>
      </c>
      <c r="B26" s="20">
        <v>2</v>
      </c>
      <c r="C26" s="20" t="s">
        <v>17</v>
      </c>
      <c r="D26" s="20">
        <v>129</v>
      </c>
      <c r="E26" s="20" t="s">
        <v>107</v>
      </c>
      <c r="F26" s="30" t="s">
        <v>19</v>
      </c>
      <c r="G26" s="30" t="s">
        <v>39</v>
      </c>
      <c r="H26" s="30" t="s">
        <v>21</v>
      </c>
      <c r="I26" s="30" t="s">
        <v>28</v>
      </c>
      <c r="J26" s="30" t="s">
        <v>27</v>
      </c>
      <c r="K26" s="30">
        <v>2</v>
      </c>
      <c r="L26" s="30">
        <v>5</v>
      </c>
      <c r="M26" s="31">
        <v>44483</v>
      </c>
      <c r="N26" s="32" t="b">
        <v>1</v>
      </c>
      <c r="O26" s="33">
        <v>130</v>
      </c>
      <c r="P26" s="30"/>
      <c r="Q26" s="30">
        <v>1</v>
      </c>
      <c r="R26" s="30">
        <v>0</v>
      </c>
      <c r="S26" s="38" t="s">
        <v>217</v>
      </c>
    </row>
    <row r="27" spans="1:19" x14ac:dyDescent="0.35">
      <c r="A27" s="27">
        <v>21</v>
      </c>
      <c r="B27" s="16">
        <v>2</v>
      </c>
      <c r="C27" s="16" t="s">
        <v>17</v>
      </c>
      <c r="D27" s="16">
        <v>143</v>
      </c>
      <c r="E27" s="16" t="s">
        <v>116</v>
      </c>
      <c r="F27" s="34" t="s">
        <v>19</v>
      </c>
      <c r="G27" s="34" t="s">
        <v>20</v>
      </c>
      <c r="H27" s="34" t="s">
        <v>25</v>
      </c>
      <c r="I27" s="34" t="s">
        <v>28</v>
      </c>
      <c r="J27" s="34" t="s">
        <v>27</v>
      </c>
      <c r="K27" s="34">
        <v>2</v>
      </c>
      <c r="L27" s="34"/>
      <c r="M27" s="35">
        <v>44483</v>
      </c>
      <c r="N27" s="32" t="b">
        <v>1</v>
      </c>
      <c r="O27" s="36">
        <v>144</v>
      </c>
      <c r="P27" s="34"/>
      <c r="Q27" s="34">
        <v>0</v>
      </c>
      <c r="R27" s="34">
        <v>0</v>
      </c>
      <c r="S27" s="39"/>
    </row>
    <row r="28" spans="1:19" x14ac:dyDescent="0.35">
      <c r="A28" s="26">
        <v>2</v>
      </c>
      <c r="B28" s="20">
        <v>5</v>
      </c>
      <c r="C28" s="20" t="s">
        <v>117</v>
      </c>
      <c r="D28" s="20">
        <v>1003</v>
      </c>
      <c r="E28" s="20" t="s">
        <v>120</v>
      </c>
      <c r="F28" s="30" t="s">
        <v>121</v>
      </c>
      <c r="G28" s="30" t="s">
        <v>20</v>
      </c>
      <c r="H28" s="30" t="s">
        <v>25</v>
      </c>
      <c r="I28" s="30" t="s">
        <v>28</v>
      </c>
      <c r="J28" s="30" t="s">
        <v>27</v>
      </c>
      <c r="K28" s="30">
        <v>2</v>
      </c>
      <c r="L28" s="30">
        <v>1</v>
      </c>
      <c r="M28" s="31">
        <v>44483</v>
      </c>
      <c r="N28" s="32" t="b">
        <v>1</v>
      </c>
      <c r="O28" s="33">
        <v>1004</v>
      </c>
      <c r="P28" s="30"/>
      <c r="Q28" s="30">
        <v>0</v>
      </c>
      <c r="R28" s="30">
        <v>0</v>
      </c>
      <c r="S28" s="38" t="s">
        <v>222</v>
      </c>
    </row>
    <row r="29" spans="1:19" x14ac:dyDescent="0.35">
      <c r="A29" s="27">
        <v>3</v>
      </c>
      <c r="B29" s="16">
        <v>4</v>
      </c>
      <c r="C29" s="16" t="s">
        <v>117</v>
      </c>
      <c r="D29" s="16">
        <v>1021</v>
      </c>
      <c r="E29" s="16" t="s">
        <v>132</v>
      </c>
      <c r="F29" s="34" t="s">
        <v>121</v>
      </c>
      <c r="G29" s="34" t="s">
        <v>39</v>
      </c>
      <c r="H29" s="34" t="s">
        <v>25</v>
      </c>
      <c r="I29" s="34" t="s">
        <v>28</v>
      </c>
      <c r="J29" s="34" t="s">
        <v>27</v>
      </c>
      <c r="K29" s="34">
        <v>2</v>
      </c>
      <c r="L29" s="34">
        <v>1</v>
      </c>
      <c r="M29" s="35">
        <v>44481</v>
      </c>
      <c r="N29" s="32" t="b">
        <v>1</v>
      </c>
      <c r="O29" s="36">
        <v>1022</v>
      </c>
      <c r="P29" s="34"/>
      <c r="Q29" s="34">
        <v>0</v>
      </c>
      <c r="R29" s="34">
        <v>1</v>
      </c>
      <c r="S29" s="39"/>
    </row>
    <row r="30" spans="1:19" x14ac:dyDescent="0.35">
      <c r="A30" s="26">
        <v>8</v>
      </c>
      <c r="B30" s="20">
        <v>4</v>
      </c>
      <c r="C30" s="20" t="s">
        <v>117</v>
      </c>
      <c r="D30" s="20">
        <v>1031</v>
      </c>
      <c r="E30" s="20" t="s">
        <v>137</v>
      </c>
      <c r="F30" s="30" t="s">
        <v>121</v>
      </c>
      <c r="G30" s="30" t="s">
        <v>20</v>
      </c>
      <c r="H30" s="30" t="s">
        <v>21</v>
      </c>
      <c r="I30" s="30" t="s">
        <v>28</v>
      </c>
      <c r="J30" s="30" t="s">
        <v>27</v>
      </c>
      <c r="K30" s="30">
        <v>2</v>
      </c>
      <c r="L30" s="30">
        <v>1</v>
      </c>
      <c r="M30" s="31">
        <v>44481</v>
      </c>
      <c r="N30" s="32" t="b">
        <v>1</v>
      </c>
      <c r="O30" s="33">
        <v>1032</v>
      </c>
      <c r="P30" s="30"/>
      <c r="Q30" s="30">
        <v>1</v>
      </c>
      <c r="R30" s="30">
        <v>1</v>
      </c>
      <c r="S30" s="38"/>
    </row>
    <row r="31" spans="1:19" x14ac:dyDescent="0.35">
      <c r="A31" s="27">
        <v>15</v>
      </c>
      <c r="B31" s="16">
        <v>4</v>
      </c>
      <c r="C31" s="16" t="s">
        <v>117</v>
      </c>
      <c r="D31" s="16">
        <v>1045</v>
      </c>
      <c r="E31" s="16" t="s">
        <v>148</v>
      </c>
      <c r="F31" s="34" t="s">
        <v>121</v>
      </c>
      <c r="G31" s="34" t="s">
        <v>39</v>
      </c>
      <c r="H31" s="34" t="s">
        <v>21</v>
      </c>
      <c r="I31" s="34" t="s">
        <v>28</v>
      </c>
      <c r="J31" s="34" t="s">
        <v>27</v>
      </c>
      <c r="K31" s="34">
        <v>2</v>
      </c>
      <c r="L31" s="34">
        <v>1</v>
      </c>
      <c r="M31" s="35">
        <v>44481</v>
      </c>
      <c r="N31" s="32" t="b">
        <v>1</v>
      </c>
      <c r="O31" s="36">
        <v>1046</v>
      </c>
      <c r="P31" s="34"/>
      <c r="Q31" s="34">
        <v>1</v>
      </c>
      <c r="R31" s="34">
        <v>1</v>
      </c>
      <c r="S31" s="39"/>
    </row>
    <row r="32" spans="1:19" x14ac:dyDescent="0.35">
      <c r="A32" s="26">
        <v>21</v>
      </c>
      <c r="B32" s="20">
        <v>4</v>
      </c>
      <c r="C32" s="20" t="s">
        <v>117</v>
      </c>
      <c r="D32" s="20">
        <v>1057</v>
      </c>
      <c r="E32" s="20" t="s">
        <v>154</v>
      </c>
      <c r="F32" s="30" t="s">
        <v>121</v>
      </c>
      <c r="G32" s="30" t="s">
        <v>39</v>
      </c>
      <c r="H32" s="30" t="s">
        <v>21</v>
      </c>
      <c r="I32" s="30" t="s">
        <v>28</v>
      </c>
      <c r="J32" s="30" t="s">
        <v>27</v>
      </c>
      <c r="K32" s="30">
        <v>2</v>
      </c>
      <c r="L32" s="30"/>
      <c r="M32" s="31">
        <v>44483</v>
      </c>
      <c r="N32" s="32" t="b">
        <v>1</v>
      </c>
      <c r="O32" s="33">
        <v>1058</v>
      </c>
      <c r="P32" s="30"/>
      <c r="Q32" s="30">
        <v>0</v>
      </c>
      <c r="R32" s="30">
        <v>1</v>
      </c>
      <c r="S32" s="38"/>
    </row>
    <row r="33" spans="1:19" x14ac:dyDescent="0.35">
      <c r="A33" s="27">
        <v>22</v>
      </c>
      <c r="B33" s="16">
        <v>4</v>
      </c>
      <c r="C33" s="16" t="s">
        <v>117</v>
      </c>
      <c r="D33" s="16">
        <v>1059</v>
      </c>
      <c r="E33" s="16" t="s">
        <v>155</v>
      </c>
      <c r="F33" s="34" t="s">
        <v>121</v>
      </c>
      <c r="G33" s="34" t="s">
        <v>39</v>
      </c>
      <c r="H33" s="34" t="s">
        <v>25</v>
      </c>
      <c r="I33" s="34" t="s">
        <v>28</v>
      </c>
      <c r="J33" s="34" t="s">
        <v>23</v>
      </c>
      <c r="K33" s="34">
        <v>2</v>
      </c>
      <c r="L33" s="34"/>
      <c r="M33" s="35">
        <v>44481</v>
      </c>
      <c r="N33" s="32" t="b">
        <v>1</v>
      </c>
      <c r="O33" s="36">
        <v>1060</v>
      </c>
      <c r="P33" s="34"/>
      <c r="Q33" s="34">
        <v>1</v>
      </c>
      <c r="R33" s="34">
        <v>1</v>
      </c>
      <c r="S33" s="39"/>
    </row>
    <row r="34" spans="1:19" x14ac:dyDescent="0.35">
      <c r="A34" s="26">
        <v>2</v>
      </c>
      <c r="B34" s="20">
        <v>3</v>
      </c>
      <c r="C34" s="20" t="s">
        <v>117</v>
      </c>
      <c r="D34" s="20">
        <v>1063</v>
      </c>
      <c r="E34" s="20" t="s">
        <v>157</v>
      </c>
      <c r="F34" s="30" t="s">
        <v>121</v>
      </c>
      <c r="G34" s="30" t="s">
        <v>20</v>
      </c>
      <c r="H34" s="30" t="s">
        <v>25</v>
      </c>
      <c r="I34" s="30" t="s">
        <v>28</v>
      </c>
      <c r="J34" s="30" t="s">
        <v>27</v>
      </c>
      <c r="K34" s="30">
        <v>2</v>
      </c>
      <c r="L34" s="30">
        <v>2</v>
      </c>
      <c r="M34" s="31">
        <v>44481</v>
      </c>
      <c r="N34" s="32" t="b">
        <v>1</v>
      </c>
      <c r="O34" s="33">
        <v>1064</v>
      </c>
      <c r="P34" s="30"/>
      <c r="Q34" s="30">
        <v>0</v>
      </c>
      <c r="R34" s="30">
        <v>0</v>
      </c>
      <c r="S34" s="38"/>
    </row>
    <row r="35" spans="1:19" x14ac:dyDescent="0.35">
      <c r="A35" s="27">
        <v>5</v>
      </c>
      <c r="B35" s="16">
        <v>3</v>
      </c>
      <c r="C35" s="16" t="s">
        <v>117</v>
      </c>
      <c r="D35" s="16">
        <v>1069</v>
      </c>
      <c r="E35" s="16" t="s">
        <v>162</v>
      </c>
      <c r="F35" s="34" t="s">
        <v>121</v>
      </c>
      <c r="G35" s="34" t="s">
        <v>20</v>
      </c>
      <c r="H35" s="34" t="s">
        <v>21</v>
      </c>
      <c r="I35" s="34" t="s">
        <v>28</v>
      </c>
      <c r="J35" s="34" t="s">
        <v>27</v>
      </c>
      <c r="K35" s="34">
        <v>2</v>
      </c>
      <c r="L35" s="34">
        <v>2</v>
      </c>
      <c r="M35" s="35">
        <v>44481</v>
      </c>
      <c r="N35" s="32" t="b">
        <v>1</v>
      </c>
      <c r="O35" s="36">
        <v>1070</v>
      </c>
      <c r="P35" s="34"/>
      <c r="Q35" s="34">
        <v>0</v>
      </c>
      <c r="R35" s="34">
        <v>1</v>
      </c>
      <c r="S35" s="39"/>
    </row>
    <row r="36" spans="1:19" x14ac:dyDescent="0.35">
      <c r="A36" s="26">
        <v>7</v>
      </c>
      <c r="B36" s="20">
        <v>3</v>
      </c>
      <c r="C36" s="20" t="s">
        <v>117</v>
      </c>
      <c r="D36" s="20">
        <v>1073</v>
      </c>
      <c r="E36" s="20" t="s">
        <v>164</v>
      </c>
      <c r="F36" s="30" t="s">
        <v>121</v>
      </c>
      <c r="G36" s="30" t="s">
        <v>39</v>
      </c>
      <c r="H36" s="30" t="s">
        <v>21</v>
      </c>
      <c r="I36" s="30" t="s">
        <v>28</v>
      </c>
      <c r="J36" s="30" t="s">
        <v>27</v>
      </c>
      <c r="K36" s="30">
        <v>2</v>
      </c>
      <c r="L36" s="30">
        <v>2</v>
      </c>
      <c r="M36" s="31">
        <v>44481</v>
      </c>
      <c r="N36" s="32" t="b">
        <v>1</v>
      </c>
      <c r="O36" s="33">
        <v>1074</v>
      </c>
      <c r="P36" s="30"/>
      <c r="Q36" s="30">
        <v>1</v>
      </c>
      <c r="R36" s="30">
        <v>1</v>
      </c>
      <c r="S36" s="38"/>
    </row>
    <row r="37" spans="1:19" x14ac:dyDescent="0.35">
      <c r="A37" s="27">
        <v>13</v>
      </c>
      <c r="B37" s="16">
        <v>3</v>
      </c>
      <c r="C37" s="16" t="s">
        <v>117</v>
      </c>
      <c r="D37" s="16">
        <v>1085</v>
      </c>
      <c r="E37" s="16" t="s">
        <v>173</v>
      </c>
      <c r="F37" s="34" t="s">
        <v>121</v>
      </c>
      <c r="G37" s="34" t="s">
        <v>20</v>
      </c>
      <c r="H37" s="34" t="s">
        <v>21</v>
      </c>
      <c r="I37" s="34" t="s">
        <v>28</v>
      </c>
      <c r="J37" s="34" t="s">
        <v>27</v>
      </c>
      <c r="K37" s="34">
        <v>2</v>
      </c>
      <c r="L37" s="34">
        <v>3</v>
      </c>
      <c r="M37" s="35">
        <v>44482</v>
      </c>
      <c r="N37" s="32" t="b">
        <v>1</v>
      </c>
      <c r="O37" s="36">
        <v>1086</v>
      </c>
      <c r="P37" s="34"/>
      <c r="Q37" s="34">
        <v>1</v>
      </c>
      <c r="R37" s="34">
        <v>1</v>
      </c>
      <c r="S37" s="41" t="s">
        <v>255</v>
      </c>
    </row>
    <row r="38" spans="1:19" x14ac:dyDescent="0.35">
      <c r="A38" s="26">
        <v>15</v>
      </c>
      <c r="B38" s="20">
        <v>3</v>
      </c>
      <c r="C38" s="20" t="s">
        <v>117</v>
      </c>
      <c r="D38" s="20">
        <v>1089</v>
      </c>
      <c r="E38" s="20" t="s">
        <v>175</v>
      </c>
      <c r="F38" s="30" t="s">
        <v>121</v>
      </c>
      <c r="G38" s="30" t="s">
        <v>20</v>
      </c>
      <c r="H38" s="30" t="s">
        <v>25</v>
      </c>
      <c r="I38" s="30" t="s">
        <v>28</v>
      </c>
      <c r="J38" s="30" t="s">
        <v>27</v>
      </c>
      <c r="K38" s="30">
        <v>2</v>
      </c>
      <c r="L38" s="30">
        <v>3</v>
      </c>
      <c r="M38" s="31">
        <v>44482</v>
      </c>
      <c r="N38" s="32" t="b">
        <v>1</v>
      </c>
      <c r="O38" s="33">
        <v>1090</v>
      </c>
      <c r="P38" s="30"/>
      <c r="Q38" s="30">
        <v>0</v>
      </c>
      <c r="R38" s="30">
        <v>0</v>
      </c>
      <c r="S38" s="38"/>
    </row>
    <row r="39" spans="1:19" x14ac:dyDescent="0.35">
      <c r="A39" s="27">
        <v>18</v>
      </c>
      <c r="B39" s="16">
        <v>3</v>
      </c>
      <c r="C39" s="16" t="s">
        <v>117</v>
      </c>
      <c r="D39" s="16">
        <v>1095</v>
      </c>
      <c r="E39" s="16" t="s">
        <v>178</v>
      </c>
      <c r="F39" s="34" t="s">
        <v>121</v>
      </c>
      <c r="G39" s="34" t="s">
        <v>39</v>
      </c>
      <c r="H39" s="34" t="s">
        <v>25</v>
      </c>
      <c r="I39" s="34" t="s">
        <v>28</v>
      </c>
      <c r="J39" s="34" t="s">
        <v>27</v>
      </c>
      <c r="K39" s="34">
        <v>2</v>
      </c>
      <c r="L39" s="34">
        <v>3</v>
      </c>
      <c r="M39" s="35">
        <v>44482</v>
      </c>
      <c r="N39" s="32" t="b">
        <v>1</v>
      </c>
      <c r="O39" s="36">
        <v>1096</v>
      </c>
      <c r="P39" s="34"/>
      <c r="Q39" s="34">
        <v>1</v>
      </c>
      <c r="R39" s="34">
        <v>1</v>
      </c>
      <c r="S39" s="39"/>
    </row>
    <row r="40" spans="1:19" x14ac:dyDescent="0.35">
      <c r="A40" s="26">
        <v>21</v>
      </c>
      <c r="B40" s="20">
        <v>3</v>
      </c>
      <c r="C40" s="20" t="s">
        <v>117</v>
      </c>
      <c r="D40" s="20">
        <v>1101</v>
      </c>
      <c r="E40" s="20" t="s">
        <v>181</v>
      </c>
      <c r="F40" s="30" t="s">
        <v>121</v>
      </c>
      <c r="G40" s="30" t="s">
        <v>20</v>
      </c>
      <c r="H40" s="30" t="s">
        <v>21</v>
      </c>
      <c r="I40" s="30" t="s">
        <v>28</v>
      </c>
      <c r="J40" s="30" t="s">
        <v>27</v>
      </c>
      <c r="K40" s="30">
        <v>2</v>
      </c>
      <c r="L40" s="30"/>
      <c r="M40" s="31">
        <v>44482</v>
      </c>
      <c r="N40" s="32" t="b">
        <v>1</v>
      </c>
      <c r="O40" s="33">
        <v>1102</v>
      </c>
      <c r="P40" s="30"/>
      <c r="Q40" s="30">
        <v>0</v>
      </c>
      <c r="R40" s="30">
        <v>1</v>
      </c>
      <c r="S40" s="38"/>
    </row>
    <row r="41" spans="1:19" x14ac:dyDescent="0.35">
      <c r="A41" s="27">
        <v>3</v>
      </c>
      <c r="B41" s="16">
        <v>2</v>
      </c>
      <c r="C41" s="16" t="s">
        <v>117</v>
      </c>
      <c r="D41" s="16">
        <v>1107</v>
      </c>
      <c r="E41" s="16" t="s">
        <v>184</v>
      </c>
      <c r="F41" s="34" t="s">
        <v>121</v>
      </c>
      <c r="G41" s="34" t="s">
        <v>39</v>
      </c>
      <c r="H41" s="34" t="s">
        <v>21</v>
      </c>
      <c r="I41" s="34" t="s">
        <v>28</v>
      </c>
      <c r="J41" s="34" t="s">
        <v>27</v>
      </c>
      <c r="K41" s="34">
        <v>2</v>
      </c>
      <c r="L41" s="34">
        <v>4</v>
      </c>
      <c r="M41" s="35">
        <v>44483</v>
      </c>
      <c r="N41" s="32" t="b">
        <v>0</v>
      </c>
      <c r="O41" s="36">
        <v>1107</v>
      </c>
      <c r="P41" s="34" t="s">
        <v>185</v>
      </c>
      <c r="Q41" s="34">
        <v>1</v>
      </c>
      <c r="R41" s="34">
        <v>1</v>
      </c>
      <c r="S41" s="39" t="s">
        <v>228</v>
      </c>
    </row>
    <row r="42" spans="1:19" ht="29" x14ac:dyDescent="0.35">
      <c r="A42" s="26">
        <v>3</v>
      </c>
      <c r="B42" s="20">
        <v>2</v>
      </c>
      <c r="C42" s="20" t="s">
        <v>117</v>
      </c>
      <c r="D42" s="20">
        <v>1107</v>
      </c>
      <c r="E42" s="20" t="s">
        <v>184</v>
      </c>
      <c r="F42" s="30" t="s">
        <v>121</v>
      </c>
      <c r="G42" s="30" t="s">
        <v>39</v>
      </c>
      <c r="H42" s="30" t="s">
        <v>21</v>
      </c>
      <c r="I42" s="30" t="s">
        <v>28</v>
      </c>
      <c r="J42" s="30" t="s">
        <v>27</v>
      </c>
      <c r="K42" s="30">
        <v>2</v>
      </c>
      <c r="L42" s="30">
        <v>4</v>
      </c>
      <c r="M42" s="31">
        <v>44483</v>
      </c>
      <c r="N42" s="32" t="b">
        <v>1</v>
      </c>
      <c r="O42" s="33">
        <v>1108</v>
      </c>
      <c r="P42" s="30" t="s">
        <v>186</v>
      </c>
      <c r="Q42" s="30">
        <v>1</v>
      </c>
      <c r="R42" s="30">
        <v>1</v>
      </c>
      <c r="S42" s="38" t="s">
        <v>229</v>
      </c>
    </row>
    <row r="43" spans="1:19" x14ac:dyDescent="0.35">
      <c r="A43" s="27">
        <v>6</v>
      </c>
      <c r="B43" s="16">
        <v>2</v>
      </c>
      <c r="C43" s="16" t="s">
        <v>117</v>
      </c>
      <c r="D43" s="16">
        <v>1113</v>
      </c>
      <c r="E43" s="16" t="s">
        <v>189</v>
      </c>
      <c r="F43" s="34" t="s">
        <v>121</v>
      </c>
      <c r="G43" s="34" t="s">
        <v>39</v>
      </c>
      <c r="H43" s="34" t="s">
        <v>25</v>
      </c>
      <c r="I43" s="34" t="s">
        <v>28</v>
      </c>
      <c r="J43" s="34" t="s">
        <v>27</v>
      </c>
      <c r="K43" s="34">
        <v>2</v>
      </c>
      <c r="L43" s="34">
        <v>4</v>
      </c>
      <c r="M43" s="35">
        <v>44482</v>
      </c>
      <c r="N43" s="32" t="b">
        <v>1</v>
      </c>
      <c r="O43" s="36">
        <v>1114</v>
      </c>
      <c r="P43" s="34"/>
      <c r="Q43" s="34">
        <v>1</v>
      </c>
      <c r="R43" s="34">
        <v>1</v>
      </c>
      <c r="S43" s="39"/>
    </row>
    <row r="44" spans="1:19" ht="29" x14ac:dyDescent="0.35">
      <c r="A44" s="26">
        <v>8</v>
      </c>
      <c r="B44" s="20">
        <v>2</v>
      </c>
      <c r="C44" s="20" t="s">
        <v>117</v>
      </c>
      <c r="D44" s="20">
        <v>1117</v>
      </c>
      <c r="E44" s="20" t="s">
        <v>191</v>
      </c>
      <c r="F44" s="30" t="s">
        <v>121</v>
      </c>
      <c r="G44" s="30" t="s">
        <v>20</v>
      </c>
      <c r="H44" s="30" t="s">
        <v>25</v>
      </c>
      <c r="I44" s="30" t="s">
        <v>28</v>
      </c>
      <c r="J44" s="30" t="s">
        <v>27</v>
      </c>
      <c r="K44" s="30">
        <v>2</v>
      </c>
      <c r="L44" s="30">
        <v>4</v>
      </c>
      <c r="M44" s="31">
        <v>44482</v>
      </c>
      <c r="N44" s="32" t="b">
        <v>1</v>
      </c>
      <c r="O44" s="33">
        <v>1118</v>
      </c>
      <c r="P44" s="30"/>
      <c r="Q44" s="30">
        <v>1</v>
      </c>
      <c r="R44" s="30">
        <v>0</v>
      </c>
      <c r="S44" s="38" t="s">
        <v>226</v>
      </c>
    </row>
    <row r="45" spans="1:19" x14ac:dyDescent="0.35">
      <c r="A45" s="27">
        <v>10</v>
      </c>
      <c r="B45" s="16">
        <v>2</v>
      </c>
      <c r="C45" s="16" t="s">
        <v>117</v>
      </c>
      <c r="D45" s="16">
        <v>1121</v>
      </c>
      <c r="E45" s="16" t="s">
        <v>193</v>
      </c>
      <c r="F45" s="34" t="s">
        <v>121</v>
      </c>
      <c r="G45" s="34" t="s">
        <v>20</v>
      </c>
      <c r="H45" s="34" t="s">
        <v>21</v>
      </c>
      <c r="I45" s="34" t="s">
        <v>28</v>
      </c>
      <c r="J45" s="34" t="s">
        <v>27</v>
      </c>
      <c r="K45" s="34"/>
      <c r="L45" s="34">
        <v>4</v>
      </c>
      <c r="M45" s="35"/>
      <c r="N45" s="32" t="b">
        <v>1</v>
      </c>
      <c r="O45" s="36">
        <v>1122</v>
      </c>
      <c r="P45" s="34" t="s">
        <v>195</v>
      </c>
      <c r="Q45" s="34"/>
      <c r="R45" s="34"/>
      <c r="S45" s="39" t="s">
        <v>230</v>
      </c>
    </row>
    <row r="46" spans="1:19" ht="29" x14ac:dyDescent="0.35">
      <c r="A46" s="26">
        <v>11</v>
      </c>
      <c r="B46" s="20">
        <v>2</v>
      </c>
      <c r="C46" s="20" t="s">
        <v>117</v>
      </c>
      <c r="D46" s="20">
        <v>1123</v>
      </c>
      <c r="E46" s="20" t="s">
        <v>196</v>
      </c>
      <c r="F46" s="30" t="s">
        <v>121</v>
      </c>
      <c r="G46" s="30" t="s">
        <v>39</v>
      </c>
      <c r="H46" s="30" t="s">
        <v>25</v>
      </c>
      <c r="I46" s="30" t="s">
        <v>28</v>
      </c>
      <c r="J46" s="30" t="s">
        <v>27</v>
      </c>
      <c r="K46" s="30">
        <v>2</v>
      </c>
      <c r="L46" s="30">
        <v>5</v>
      </c>
      <c r="M46" s="31">
        <v>44482</v>
      </c>
      <c r="N46" s="32" t="b">
        <v>1</v>
      </c>
      <c r="O46" s="33">
        <v>1124</v>
      </c>
      <c r="P46" s="30"/>
      <c r="Q46" s="30">
        <v>1</v>
      </c>
      <c r="R46" s="30">
        <v>1</v>
      </c>
      <c r="S46" s="38" t="s">
        <v>225</v>
      </c>
    </row>
    <row r="47" spans="1:19" x14ac:dyDescent="0.35">
      <c r="A47" s="27">
        <v>12</v>
      </c>
      <c r="B47" s="16">
        <v>2</v>
      </c>
      <c r="C47" s="16" t="s">
        <v>117</v>
      </c>
      <c r="D47" s="16">
        <v>1125</v>
      </c>
      <c r="E47" s="16" t="s">
        <v>197</v>
      </c>
      <c r="F47" s="34" t="s">
        <v>121</v>
      </c>
      <c r="G47" s="34" t="s">
        <v>20</v>
      </c>
      <c r="H47" s="34" t="s">
        <v>25</v>
      </c>
      <c r="I47" s="34" t="s">
        <v>28</v>
      </c>
      <c r="J47" s="34" t="s">
        <v>27</v>
      </c>
      <c r="K47" s="34">
        <v>2</v>
      </c>
      <c r="L47" s="34">
        <v>5</v>
      </c>
      <c r="M47" s="35">
        <v>44483</v>
      </c>
      <c r="N47" s="32" t="b">
        <v>1</v>
      </c>
      <c r="O47" s="36">
        <v>1126</v>
      </c>
      <c r="P47" s="34"/>
      <c r="Q47" s="34">
        <v>1</v>
      </c>
      <c r="R47" s="34">
        <v>1</v>
      </c>
      <c r="S47" s="39"/>
    </row>
    <row r="48" spans="1:19" x14ac:dyDescent="0.35">
      <c r="A48" s="26">
        <v>14</v>
      </c>
      <c r="B48" s="20">
        <v>2</v>
      </c>
      <c r="C48" s="20" t="s">
        <v>117</v>
      </c>
      <c r="D48" s="20">
        <v>1129</v>
      </c>
      <c r="E48" s="20" t="s">
        <v>199</v>
      </c>
      <c r="F48" s="30" t="s">
        <v>121</v>
      </c>
      <c r="G48" s="30" t="s">
        <v>39</v>
      </c>
      <c r="H48" s="30" t="s">
        <v>21</v>
      </c>
      <c r="I48" s="30" t="s">
        <v>28</v>
      </c>
      <c r="J48" s="30" t="s">
        <v>27</v>
      </c>
      <c r="K48" s="30">
        <v>2</v>
      </c>
      <c r="L48" s="30">
        <v>5</v>
      </c>
      <c r="M48" s="31">
        <v>44483</v>
      </c>
      <c r="N48" s="32" t="b">
        <v>1</v>
      </c>
      <c r="O48" s="33">
        <v>1130</v>
      </c>
      <c r="P48" s="30"/>
      <c r="Q48" s="30">
        <v>1</v>
      </c>
      <c r="R48" s="30">
        <v>1</v>
      </c>
      <c r="S48" s="38"/>
    </row>
    <row r="49" spans="1:19" x14ac:dyDescent="0.35">
      <c r="A49" s="27">
        <v>16</v>
      </c>
      <c r="B49" s="16">
        <v>2</v>
      </c>
      <c r="C49" s="16" t="s">
        <v>117</v>
      </c>
      <c r="D49" s="16">
        <v>1133</v>
      </c>
      <c r="E49" s="16" t="s">
        <v>201</v>
      </c>
      <c r="F49" s="34" t="s">
        <v>121</v>
      </c>
      <c r="G49" s="34" t="s">
        <v>20</v>
      </c>
      <c r="H49" s="34" t="s">
        <v>21</v>
      </c>
      <c r="I49" s="34" t="s">
        <v>28</v>
      </c>
      <c r="J49" s="34" t="s">
        <v>27</v>
      </c>
      <c r="K49" s="34">
        <v>2</v>
      </c>
      <c r="L49" s="34">
        <v>5</v>
      </c>
      <c r="M49" s="35">
        <v>44483</v>
      </c>
      <c r="N49" s="32" t="b">
        <v>1</v>
      </c>
      <c r="O49" s="36">
        <v>1134</v>
      </c>
      <c r="P49" s="34"/>
      <c r="Q49" s="34">
        <v>1</v>
      </c>
      <c r="R49" s="34">
        <v>0</v>
      </c>
      <c r="S49" s="39"/>
    </row>
    <row r="50" spans="1:19" x14ac:dyDescent="0.35">
      <c r="A50" s="26">
        <v>21</v>
      </c>
      <c r="B50" s="20">
        <v>2</v>
      </c>
      <c r="C50" s="20" t="s">
        <v>117</v>
      </c>
      <c r="D50" s="20">
        <v>1143</v>
      </c>
      <c r="E50" s="20" t="s">
        <v>206</v>
      </c>
      <c r="F50" s="30" t="s">
        <v>121</v>
      </c>
      <c r="G50" s="30" t="s">
        <v>20</v>
      </c>
      <c r="H50" s="30" t="s">
        <v>25</v>
      </c>
      <c r="I50" s="30" t="s">
        <v>28</v>
      </c>
      <c r="J50" s="30" t="s">
        <v>23</v>
      </c>
      <c r="K50" s="30">
        <v>2</v>
      </c>
      <c r="L50" s="30"/>
      <c r="M50" s="31">
        <v>44481</v>
      </c>
      <c r="N50" s="32" t="b">
        <v>1</v>
      </c>
      <c r="O50" s="33">
        <v>1144</v>
      </c>
      <c r="P50" s="30"/>
      <c r="Q50" s="30">
        <v>0</v>
      </c>
      <c r="R50" s="30">
        <v>1</v>
      </c>
      <c r="S50" s="38"/>
    </row>
  </sheetData>
  <conditionalFormatting sqref="C1:C27">
    <cfRule type="containsText" dxfId="30" priority="20" operator="containsText" text="U3">
      <formula>NOT(ISERROR(SEARCH("U3",C1)))</formula>
    </cfRule>
  </conditionalFormatting>
  <conditionalFormatting sqref="F1:F27">
    <cfRule type="containsText" dxfId="29" priority="19" operator="containsText" text="HS">
      <formula>NOT(ISERROR(SEARCH("HS",F1)))</formula>
    </cfRule>
  </conditionalFormatting>
  <conditionalFormatting sqref="J1:J27">
    <cfRule type="containsText" dxfId="28" priority="16" operator="containsText" text="flux">
      <formula>NOT(ISERROR(SEARCH("flux",J1)))</formula>
    </cfRule>
    <cfRule type="containsText" dxfId="27" priority="17" operator="containsText" text="JEx">
      <formula>NOT(ISERROR(SEARCH("JEx",J1)))</formula>
    </cfRule>
    <cfRule type="containsText" dxfId="26" priority="18" operator="containsText" text="EB">
      <formula>NOT(ISERROR(SEARCH("EB",J1)))</formula>
    </cfRule>
  </conditionalFormatting>
  <conditionalFormatting sqref="A1:A27">
    <cfRule type="colorScale" priority="21">
      <colorScale>
        <cfvo type="min"/>
        <cfvo type="max"/>
        <color theme="0"/>
        <color theme="5" tint="-0.249977111117893"/>
      </colorScale>
    </cfRule>
  </conditionalFormatting>
  <conditionalFormatting sqref="B1:B27">
    <cfRule type="colorScale" priority="22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sqref="I1:I50">
    <cfRule type="containsText" dxfId="25" priority="12" operator="containsText" text="BM">
      <formula>NOT(ISERROR(SEARCH("BM",I1)))</formula>
    </cfRule>
    <cfRule type="containsText" dxfId="24" priority="13" operator="containsText" text="exud">
      <formula>NOT(ISERROR(SEARCH("exud",I1)))</formula>
    </cfRule>
    <cfRule type="containsText" dxfId="23" priority="14" operator="containsText" text="jav">
      <formula>NOT(ISERROR(SEARCH("jav",I1)))</formula>
    </cfRule>
    <cfRule type="containsText" dxfId="22" priority="15" operator="containsText" text="eco">
      <formula>NOT(ISERROR(SEARCH("eco",I1)))</formula>
    </cfRule>
  </conditionalFormatting>
  <conditionalFormatting sqref="M1:M5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50">
    <cfRule type="containsText" dxfId="21" priority="9" operator="containsText" text="faux">
      <formula>NOT(ISERROR(SEARCH("faux",N2)))</formula>
    </cfRule>
  </conditionalFormatting>
  <conditionalFormatting sqref="N2:N5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C50">
    <cfRule type="containsText" dxfId="20" priority="8" operator="containsText" text="U3">
      <formula>NOT(ISERROR(SEARCH("U3",C28)))</formula>
    </cfRule>
  </conditionalFormatting>
  <conditionalFormatting sqref="F28:F50">
    <cfRule type="containsText" dxfId="19" priority="7" operator="containsText" text="HS">
      <formula>NOT(ISERROR(SEARCH("HS",F28)))</formula>
    </cfRule>
  </conditionalFormatting>
  <conditionalFormatting sqref="J28:J50">
    <cfRule type="containsText" dxfId="18" priority="4" operator="containsText" text="flux">
      <formula>NOT(ISERROR(SEARCH("flux",J28)))</formula>
    </cfRule>
    <cfRule type="containsText" dxfId="17" priority="5" operator="containsText" text="JEx">
      <formula>NOT(ISERROR(SEARCH("JEx",J28)))</formula>
    </cfRule>
    <cfRule type="containsText" dxfId="16" priority="6" operator="containsText" text="EB">
      <formula>NOT(ISERROR(SEARCH("EB",J28)))</formula>
    </cfRule>
  </conditionalFormatting>
  <conditionalFormatting sqref="A28:A50">
    <cfRule type="colorScale" priority="2">
      <colorScale>
        <cfvo type="min"/>
        <cfvo type="max"/>
        <color theme="0"/>
        <color theme="5" tint="-0.249977111117893"/>
      </colorScale>
    </cfRule>
  </conditionalFormatting>
  <conditionalFormatting sqref="B28:B50">
    <cfRule type="colorScale" priority="3">
      <colorScale>
        <cfvo type="min"/>
        <cfvo type="percentile" val="50"/>
        <cfvo type="max"/>
        <color rgb="FF54BECC"/>
        <color rgb="FFFFEB84"/>
        <color rgb="FF00B050"/>
      </colorScale>
    </cfRule>
  </conditionalFormatting>
  <conditionalFormatting pivot="1" sqref="U3:V3 U4:V5 U6:V6 U7:V8 U9:V9 U10:V10 U11:V12 U13:V13 U14:V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9" orientation="landscape" r:id="rId2"/>
  <headerFooter>
    <oddHeader>&amp;C&amp;"-,Gras"&amp;16Développement bacterie&amp;Rprint : &amp;D</oddHeader>
    <oddFooter>&amp;L&amp;Z&amp;F&amp;R&amp;P/&amp;N</oddFooter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8BB9-427A-4D42-85E8-6AD8BFF3B069}">
  <dimension ref="A1:D33"/>
  <sheetViews>
    <sheetView view="pageLayout" zoomScaleNormal="100" workbookViewId="0">
      <selection activeCell="P13" sqref="P13"/>
    </sheetView>
  </sheetViews>
  <sheetFormatPr baseColWidth="10" defaultColWidth="9.1796875" defaultRowHeight="14.5" x14ac:dyDescent="0.35"/>
  <cols>
    <col min="1" max="1" width="8" customWidth="1"/>
    <col min="2" max="2" width="18.453125" customWidth="1"/>
    <col min="3" max="3" width="17.1796875" bestFit="1" customWidth="1"/>
    <col min="4" max="4" width="13.54296875" bestFit="1" customWidth="1"/>
    <col min="8" max="8" width="8" bestFit="1" customWidth="1"/>
    <col min="9" max="9" width="17.81640625" bestFit="1" customWidth="1"/>
    <col min="10" max="10" width="16.08984375" bestFit="1" customWidth="1"/>
    <col min="11" max="11" width="12" bestFit="1" customWidth="1"/>
  </cols>
  <sheetData>
    <row r="1" spans="1:4" ht="18.5" x14ac:dyDescent="0.45">
      <c r="A1" s="162" t="s">
        <v>902</v>
      </c>
      <c r="B1" s="160" t="s">
        <v>900</v>
      </c>
      <c r="C1" s="161" t="s">
        <v>283</v>
      </c>
      <c r="D1" s="160" t="s">
        <v>897</v>
      </c>
    </row>
    <row r="2" spans="1:4" ht="18.5" x14ac:dyDescent="0.45">
      <c r="A2" s="159">
        <v>1</v>
      </c>
      <c r="B2" s="152" t="s">
        <v>901</v>
      </c>
      <c r="C2" s="158" t="s">
        <v>286</v>
      </c>
      <c r="D2" s="153" t="s">
        <v>909</v>
      </c>
    </row>
    <row r="3" spans="1:4" ht="18.5" x14ac:dyDescent="0.45">
      <c r="A3" s="159">
        <v>2</v>
      </c>
      <c r="B3" s="152" t="s">
        <v>901</v>
      </c>
      <c r="C3" s="158" t="s">
        <v>286</v>
      </c>
      <c r="D3" s="153" t="s">
        <v>917</v>
      </c>
    </row>
    <row r="4" spans="1:4" ht="18.5" x14ac:dyDescent="0.45">
      <c r="A4" s="159">
        <v>3</v>
      </c>
      <c r="B4" s="152" t="s">
        <v>901</v>
      </c>
      <c r="C4" s="158" t="s">
        <v>286</v>
      </c>
      <c r="D4" s="153" t="s">
        <v>915</v>
      </c>
    </row>
    <row r="5" spans="1:4" ht="18.5" x14ac:dyDescent="0.45">
      <c r="A5" s="159">
        <v>4</v>
      </c>
      <c r="B5" s="152" t="s">
        <v>901</v>
      </c>
      <c r="C5" s="158" t="s">
        <v>286</v>
      </c>
      <c r="D5" s="153" t="s">
        <v>903</v>
      </c>
    </row>
    <row r="6" spans="1:4" ht="18.5" x14ac:dyDescent="0.45">
      <c r="A6" s="159">
        <v>5</v>
      </c>
      <c r="B6" s="152" t="s">
        <v>901</v>
      </c>
      <c r="C6" s="158" t="s">
        <v>285</v>
      </c>
      <c r="D6" s="153" t="s">
        <v>918</v>
      </c>
    </row>
    <row r="7" spans="1:4" ht="18.5" x14ac:dyDescent="0.45">
      <c r="A7" s="159">
        <v>6</v>
      </c>
      <c r="B7" s="152" t="s">
        <v>901</v>
      </c>
      <c r="C7" s="158" t="s">
        <v>285</v>
      </c>
      <c r="D7" s="153" t="s">
        <v>916</v>
      </c>
    </row>
    <row r="8" spans="1:4" ht="18.5" x14ac:dyDescent="0.45">
      <c r="A8" s="159">
        <v>7</v>
      </c>
      <c r="B8" s="152" t="s">
        <v>901</v>
      </c>
      <c r="C8" s="158" t="s">
        <v>285</v>
      </c>
      <c r="D8" s="153" t="s">
        <v>914</v>
      </c>
    </row>
    <row r="9" spans="1:4" ht="18.5" x14ac:dyDescent="0.45">
      <c r="A9" s="159">
        <v>8</v>
      </c>
      <c r="B9" s="152" t="s">
        <v>901</v>
      </c>
      <c r="C9" s="158" t="s">
        <v>285</v>
      </c>
      <c r="D9" s="153" t="s">
        <v>911</v>
      </c>
    </row>
    <row r="10" spans="1:4" ht="18.5" x14ac:dyDescent="0.45">
      <c r="A10" s="159">
        <v>9</v>
      </c>
      <c r="B10" s="152" t="s">
        <v>901</v>
      </c>
      <c r="C10" s="158" t="s">
        <v>287</v>
      </c>
      <c r="D10" s="153" t="s">
        <v>910</v>
      </c>
    </row>
    <row r="11" spans="1:4" ht="18.5" x14ac:dyDescent="0.45">
      <c r="A11" s="159">
        <v>10</v>
      </c>
      <c r="B11" s="152" t="s">
        <v>901</v>
      </c>
      <c r="C11" s="158" t="s">
        <v>287</v>
      </c>
      <c r="D11" s="153" t="s">
        <v>906</v>
      </c>
    </row>
    <row r="12" spans="1:4" ht="18.5" x14ac:dyDescent="0.45">
      <c r="A12" s="159">
        <v>11</v>
      </c>
      <c r="B12" s="152" t="s">
        <v>901</v>
      </c>
      <c r="C12" s="158" t="s">
        <v>287</v>
      </c>
      <c r="D12" s="153" t="s">
        <v>912</v>
      </c>
    </row>
    <row r="13" spans="1:4" ht="18.5" x14ac:dyDescent="0.45">
      <c r="A13" s="159">
        <v>12</v>
      </c>
      <c r="B13" s="152" t="s">
        <v>901</v>
      </c>
      <c r="C13" s="158" t="s">
        <v>287</v>
      </c>
      <c r="D13" s="153" t="s">
        <v>904</v>
      </c>
    </row>
    <row r="14" spans="1:4" ht="18.5" x14ac:dyDescent="0.45">
      <c r="A14" s="159">
        <v>13</v>
      </c>
      <c r="B14" s="152" t="s">
        <v>901</v>
      </c>
      <c r="C14" s="158" t="s">
        <v>288</v>
      </c>
      <c r="D14" s="153" t="s">
        <v>905</v>
      </c>
    </row>
    <row r="15" spans="1:4" ht="18.5" x14ac:dyDescent="0.45">
      <c r="A15" s="159">
        <v>14</v>
      </c>
      <c r="B15" s="152" t="s">
        <v>901</v>
      </c>
      <c r="C15" s="158" t="s">
        <v>288</v>
      </c>
      <c r="D15" s="153" t="s">
        <v>913</v>
      </c>
    </row>
    <row r="16" spans="1:4" ht="18.5" x14ac:dyDescent="0.45">
      <c r="A16" s="159">
        <v>15</v>
      </c>
      <c r="B16" s="152" t="s">
        <v>901</v>
      </c>
      <c r="C16" s="158" t="s">
        <v>288</v>
      </c>
      <c r="D16" s="153" t="s">
        <v>907</v>
      </c>
    </row>
    <row r="17" spans="1:4" ht="18.5" x14ac:dyDescent="0.45">
      <c r="A17" s="159">
        <v>16</v>
      </c>
      <c r="B17" s="152" t="s">
        <v>901</v>
      </c>
      <c r="C17" s="158" t="s">
        <v>288</v>
      </c>
      <c r="D17" s="153" t="s">
        <v>908</v>
      </c>
    </row>
    <row r="18" spans="1:4" ht="18.5" x14ac:dyDescent="0.45">
      <c r="A18" s="159">
        <v>17</v>
      </c>
      <c r="B18" s="152" t="s">
        <v>901</v>
      </c>
      <c r="C18" s="158" t="s">
        <v>290</v>
      </c>
      <c r="D18" s="153" t="s">
        <v>934</v>
      </c>
    </row>
    <row r="19" spans="1:4" ht="18.5" x14ac:dyDescent="0.45">
      <c r="A19" s="159">
        <v>18</v>
      </c>
      <c r="B19" s="152" t="s">
        <v>901</v>
      </c>
      <c r="C19" s="158" t="s">
        <v>290</v>
      </c>
      <c r="D19" s="153" t="s">
        <v>932</v>
      </c>
    </row>
    <row r="20" spans="1:4" ht="18.5" x14ac:dyDescent="0.45">
      <c r="A20" s="159">
        <v>19</v>
      </c>
      <c r="B20" s="152" t="s">
        <v>901</v>
      </c>
      <c r="C20" s="158" t="s">
        <v>290</v>
      </c>
      <c r="D20" s="153" t="s">
        <v>923</v>
      </c>
    </row>
    <row r="21" spans="1:4" ht="18.5" x14ac:dyDescent="0.45">
      <c r="A21" s="159">
        <v>20</v>
      </c>
      <c r="B21" s="152" t="s">
        <v>901</v>
      </c>
      <c r="C21" s="158" t="s">
        <v>290</v>
      </c>
      <c r="D21" s="153" t="s">
        <v>926</v>
      </c>
    </row>
    <row r="22" spans="1:4" ht="18.5" x14ac:dyDescent="0.45">
      <c r="A22" s="159">
        <v>21</v>
      </c>
      <c r="B22" s="152" t="s">
        <v>901</v>
      </c>
      <c r="C22" s="158" t="s">
        <v>289</v>
      </c>
      <c r="D22" s="153" t="s">
        <v>919</v>
      </c>
    </row>
    <row r="23" spans="1:4" ht="18.5" x14ac:dyDescent="0.45">
      <c r="A23" s="159">
        <v>21</v>
      </c>
      <c r="B23" s="152" t="s">
        <v>901</v>
      </c>
      <c r="C23" s="158" t="s">
        <v>289</v>
      </c>
      <c r="D23" s="153" t="s">
        <v>928</v>
      </c>
    </row>
    <row r="24" spans="1:4" ht="18.5" x14ac:dyDescent="0.45">
      <c r="A24" s="159">
        <v>23</v>
      </c>
      <c r="B24" s="152" t="s">
        <v>901</v>
      </c>
      <c r="C24" s="158" t="s">
        <v>289</v>
      </c>
      <c r="D24" s="153" t="s">
        <v>931</v>
      </c>
    </row>
    <row r="25" spans="1:4" ht="18.5" x14ac:dyDescent="0.45">
      <c r="A25" s="159">
        <v>24</v>
      </c>
      <c r="B25" s="152" t="s">
        <v>901</v>
      </c>
      <c r="C25" s="158" t="s">
        <v>289</v>
      </c>
      <c r="D25" s="153" t="s">
        <v>922</v>
      </c>
    </row>
    <row r="26" spans="1:4" ht="18.5" x14ac:dyDescent="0.45">
      <c r="A26" s="159">
        <v>25</v>
      </c>
      <c r="B26" s="152" t="s">
        <v>901</v>
      </c>
      <c r="C26" s="158" t="s">
        <v>292</v>
      </c>
      <c r="D26" s="153" t="s">
        <v>933</v>
      </c>
    </row>
    <row r="27" spans="1:4" ht="18.5" x14ac:dyDescent="0.45">
      <c r="A27" s="159">
        <v>26</v>
      </c>
      <c r="B27" s="152" t="s">
        <v>901</v>
      </c>
      <c r="C27" s="158" t="s">
        <v>292</v>
      </c>
      <c r="D27" s="153" t="s">
        <v>927</v>
      </c>
    </row>
    <row r="28" spans="1:4" ht="18.5" x14ac:dyDescent="0.45">
      <c r="A28" s="159">
        <v>27</v>
      </c>
      <c r="B28" s="152" t="s">
        <v>901</v>
      </c>
      <c r="C28" s="158" t="s">
        <v>292</v>
      </c>
      <c r="D28" s="153" t="s">
        <v>930</v>
      </c>
    </row>
    <row r="29" spans="1:4" ht="18.5" x14ac:dyDescent="0.45">
      <c r="A29" s="159">
        <v>28</v>
      </c>
      <c r="B29" s="152" t="s">
        <v>901</v>
      </c>
      <c r="C29" s="158" t="s">
        <v>292</v>
      </c>
      <c r="D29" s="153" t="s">
        <v>925</v>
      </c>
    </row>
    <row r="30" spans="1:4" ht="18.5" x14ac:dyDescent="0.45">
      <c r="A30" s="159">
        <v>29</v>
      </c>
      <c r="B30" s="152" t="s">
        <v>901</v>
      </c>
      <c r="C30" s="158" t="s">
        <v>291</v>
      </c>
      <c r="D30" s="153" t="s">
        <v>924</v>
      </c>
    </row>
    <row r="31" spans="1:4" ht="18.5" x14ac:dyDescent="0.45">
      <c r="A31" s="159">
        <v>30</v>
      </c>
      <c r="B31" s="152" t="s">
        <v>901</v>
      </c>
      <c r="C31" s="158" t="s">
        <v>291</v>
      </c>
      <c r="D31" s="153" t="s">
        <v>921</v>
      </c>
    </row>
    <row r="32" spans="1:4" ht="18.5" x14ac:dyDescent="0.45">
      <c r="A32" s="159">
        <v>31</v>
      </c>
      <c r="B32" s="152" t="s">
        <v>901</v>
      </c>
      <c r="C32" s="158" t="s">
        <v>291</v>
      </c>
      <c r="D32" s="153" t="s">
        <v>929</v>
      </c>
    </row>
    <row r="33" spans="1:4" ht="18.5" x14ac:dyDescent="0.45">
      <c r="A33" s="157">
        <v>32</v>
      </c>
      <c r="B33" s="156" t="s">
        <v>901</v>
      </c>
      <c r="C33" s="155" t="s">
        <v>291</v>
      </c>
      <c r="D33" s="154" t="s">
        <v>920</v>
      </c>
    </row>
  </sheetData>
  <conditionalFormatting sqref="C1:C33">
    <cfRule type="containsText" dxfId="15" priority="14" operator="containsText" text="Sto_WS_HS">
      <formula>NOT(ISERROR(SEARCH("Sto_WS_HS",C1)))</formula>
    </cfRule>
    <cfRule type="containsText" dxfId="14" priority="15" operator="containsText" text="Sto_WS_OT">
      <formula>NOT(ISERROR(SEARCH("Sto_WS_OT",C1)))</formula>
    </cfRule>
    <cfRule type="containsText" dxfId="13" priority="16" operator="containsText" text="Sto_WW_OT">
      <formula>NOT(ISERROR(SEARCH("Sto_WW_OT",C1)))</formula>
    </cfRule>
  </conditionalFormatting>
  <conditionalFormatting sqref="C1:C33">
    <cfRule type="containsText" dxfId="12" priority="11" operator="containsText" text="Wen_WS_HS">
      <formula>NOT(ISERROR(SEARCH("Wen_WS_HS",C1)))</formula>
    </cfRule>
    <cfRule type="containsText" dxfId="11" priority="12" operator="containsText" text="Wen_WS_OT">
      <formula>NOT(ISERROR(SEARCH("Wen_WS_OT",C1)))</formula>
    </cfRule>
    <cfRule type="containsText" dxfId="10" priority="13" operator="containsText" text="Wen_WW_OT">
      <formula>NOT(ISERROR(SEARCH("Wen_WW_OT",C1)))</formula>
    </cfRule>
  </conditionalFormatting>
  <conditionalFormatting sqref="C1:C33">
    <cfRule type="containsText" dxfId="9" priority="9" operator="containsText" text="Wen_WW_HS">
      <formula>NOT(ISERROR(SEARCH("Wen_WW_HS",C1)))</formula>
    </cfRule>
    <cfRule type="containsText" dxfId="8" priority="10" operator="containsText" text="Sto_WW_HS">
      <formula>NOT(ISERROR(SEARCH("Sto_WW_HS",C1)))</formula>
    </cfRule>
  </conditionalFormatting>
  <pageMargins left="0.7" right="0.7" top="0.75" bottom="0.75" header="0.3" footer="0.3"/>
  <pageSetup paperSize="9" orientation="portrait" r:id="rId1"/>
  <headerFooter>
    <oddHeader>&amp;C&amp;"-,Gras"&amp;16List Broyage Bulk soil&amp;Rprint : &amp;D</oddHeader>
    <oddFooter>&amp;R&amp;P/&amp;N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BA00-CF77-444D-B5ED-98944B591E26}">
  <dimension ref="A1:D35"/>
  <sheetViews>
    <sheetView tabSelected="1" view="pageLayout" topLeftCell="B1" zoomScaleNormal="100" workbookViewId="0">
      <selection activeCell="D16" sqref="D16"/>
    </sheetView>
  </sheetViews>
  <sheetFormatPr baseColWidth="10" defaultColWidth="9.1796875" defaultRowHeight="14.5" x14ac:dyDescent="0.35"/>
  <cols>
    <col min="1" max="1" width="8" hidden="1" customWidth="1"/>
    <col min="2" max="2" width="18.453125" customWidth="1"/>
    <col min="3" max="3" width="17.1796875" bestFit="1" customWidth="1"/>
    <col min="4" max="4" width="13.54296875" bestFit="1" customWidth="1"/>
  </cols>
  <sheetData>
    <row r="1" spans="1:4" ht="18.5" x14ac:dyDescent="0.45">
      <c r="A1" s="162" t="s">
        <v>902</v>
      </c>
      <c r="B1" s="160" t="s">
        <v>900</v>
      </c>
      <c r="C1" s="161" t="s">
        <v>283</v>
      </c>
      <c r="D1" s="160" t="s">
        <v>897</v>
      </c>
    </row>
    <row r="2" spans="1:4" ht="18.5" x14ac:dyDescent="0.45">
      <c r="A2" s="159">
        <v>1</v>
      </c>
      <c r="B2" s="152" t="s">
        <v>935</v>
      </c>
      <c r="C2" s="158" t="s">
        <v>286</v>
      </c>
      <c r="D2" s="153">
        <v>98</v>
      </c>
    </row>
    <row r="3" spans="1:4" ht="18.5" x14ac:dyDescent="0.45">
      <c r="A3" s="159">
        <v>2</v>
      </c>
      <c r="B3" s="152" t="s">
        <v>935</v>
      </c>
      <c r="C3" s="158" t="s">
        <v>286</v>
      </c>
      <c r="D3" s="153">
        <v>132</v>
      </c>
    </row>
    <row r="4" spans="1:4" ht="18.5" x14ac:dyDescent="0.45">
      <c r="A4" s="159">
        <v>3</v>
      </c>
      <c r="B4" s="152" t="s">
        <v>935</v>
      </c>
      <c r="C4" s="158" t="s">
        <v>286</v>
      </c>
      <c r="D4" s="153">
        <v>138</v>
      </c>
    </row>
    <row r="5" spans="1:4" ht="18.5" x14ac:dyDescent="0.45">
      <c r="A5" s="159">
        <v>4</v>
      </c>
      <c r="B5" s="152" t="s">
        <v>935</v>
      </c>
      <c r="C5" s="158" t="s">
        <v>286</v>
      </c>
      <c r="D5" s="153">
        <v>20</v>
      </c>
    </row>
    <row r="6" spans="1:4" ht="18.5" x14ac:dyDescent="0.45">
      <c r="A6" s="159" t="s">
        <v>936</v>
      </c>
      <c r="B6" s="152" t="s">
        <v>935</v>
      </c>
      <c r="C6" s="158" t="s">
        <v>286</v>
      </c>
      <c r="D6" s="153">
        <v>63</v>
      </c>
    </row>
    <row r="7" spans="1:4" ht="18.5" x14ac:dyDescent="0.45">
      <c r="A7" s="159">
        <v>5</v>
      </c>
      <c r="B7" s="152" t="s">
        <v>935</v>
      </c>
      <c r="C7" s="158" t="s">
        <v>285</v>
      </c>
      <c r="D7" s="153">
        <v>5</v>
      </c>
    </row>
    <row r="8" spans="1:4" ht="18.5" x14ac:dyDescent="0.45">
      <c r="A8" s="159">
        <v>6</v>
      </c>
      <c r="B8" s="152" t="s">
        <v>935</v>
      </c>
      <c r="C8" s="158" t="s">
        <v>285</v>
      </c>
      <c r="D8" s="153">
        <v>133</v>
      </c>
    </row>
    <row r="9" spans="1:4" ht="18.5" x14ac:dyDescent="0.45">
      <c r="A9" s="159">
        <v>7</v>
      </c>
      <c r="B9" s="152" t="s">
        <v>935</v>
      </c>
      <c r="C9" s="158" t="s">
        <v>285</v>
      </c>
      <c r="D9" s="153">
        <v>28</v>
      </c>
    </row>
    <row r="10" spans="1:4" ht="18.5" x14ac:dyDescent="0.45">
      <c r="A10" s="159">
        <v>8</v>
      </c>
      <c r="B10" s="152" t="s">
        <v>935</v>
      </c>
      <c r="C10" s="158" t="s">
        <v>285</v>
      </c>
      <c r="D10" s="153">
        <v>94</v>
      </c>
    </row>
    <row r="11" spans="1:4" ht="18.5" hidden="1" x14ac:dyDescent="0.45">
      <c r="A11" s="159">
        <v>9</v>
      </c>
      <c r="B11" s="152" t="s">
        <v>935</v>
      </c>
      <c r="C11" s="158" t="s">
        <v>287</v>
      </c>
      <c r="D11" s="153"/>
    </row>
    <row r="12" spans="1:4" ht="18.5" x14ac:dyDescent="0.45">
      <c r="A12" s="159">
        <v>10</v>
      </c>
      <c r="B12" s="152" t="s">
        <v>935</v>
      </c>
      <c r="C12" s="158" t="s">
        <v>287</v>
      </c>
      <c r="D12" s="153">
        <v>116</v>
      </c>
    </row>
    <row r="13" spans="1:4" ht="18.5" x14ac:dyDescent="0.45">
      <c r="A13" s="159">
        <v>11</v>
      </c>
      <c r="B13" s="152" t="s">
        <v>935</v>
      </c>
      <c r="C13" s="158" t="s">
        <v>287</v>
      </c>
      <c r="D13" s="153">
        <v>100</v>
      </c>
    </row>
    <row r="14" spans="1:4" ht="18.5" x14ac:dyDescent="0.45">
      <c r="A14" s="159">
        <v>12</v>
      </c>
      <c r="B14" s="152" t="s">
        <v>935</v>
      </c>
      <c r="C14" s="158" t="s">
        <v>287</v>
      </c>
      <c r="D14" s="153">
        <v>24</v>
      </c>
    </row>
    <row r="15" spans="1:4" ht="18.5" x14ac:dyDescent="0.45">
      <c r="A15" s="159">
        <v>13</v>
      </c>
      <c r="B15" s="152" t="s">
        <v>935</v>
      </c>
      <c r="C15" s="158" t="s">
        <v>288</v>
      </c>
      <c r="D15" s="153">
        <v>57</v>
      </c>
    </row>
    <row r="16" spans="1:4" ht="18.5" x14ac:dyDescent="0.45">
      <c r="A16" s="159">
        <v>14</v>
      </c>
      <c r="B16" s="152" t="s">
        <v>935</v>
      </c>
      <c r="C16" s="158" t="s">
        <v>288</v>
      </c>
      <c r="D16" s="153">
        <v>58</v>
      </c>
    </row>
    <row r="17" spans="1:4" ht="18.5" x14ac:dyDescent="0.45">
      <c r="A17" s="159">
        <v>15</v>
      </c>
      <c r="B17" s="152" t="s">
        <v>935</v>
      </c>
      <c r="C17" s="158" t="s">
        <v>288</v>
      </c>
      <c r="D17" s="153">
        <v>92</v>
      </c>
    </row>
    <row r="18" spans="1:4" ht="18.5" x14ac:dyDescent="0.45">
      <c r="A18" s="159">
        <v>16</v>
      </c>
      <c r="B18" s="152" t="s">
        <v>935</v>
      </c>
      <c r="C18" s="158" t="s">
        <v>288</v>
      </c>
      <c r="D18" s="153">
        <v>62</v>
      </c>
    </row>
    <row r="19" spans="1:4" ht="18.5" x14ac:dyDescent="0.45">
      <c r="A19" s="159" t="s">
        <v>936</v>
      </c>
      <c r="B19" s="152" t="s">
        <v>935</v>
      </c>
      <c r="C19" s="158" t="s">
        <v>288</v>
      </c>
      <c r="D19" s="153">
        <v>76</v>
      </c>
    </row>
    <row r="20" spans="1:4" ht="18.5" x14ac:dyDescent="0.45">
      <c r="A20" s="159">
        <v>17</v>
      </c>
      <c r="B20" s="152" t="s">
        <v>935</v>
      </c>
      <c r="C20" s="158" t="s">
        <v>290</v>
      </c>
      <c r="D20" s="153">
        <v>1030</v>
      </c>
    </row>
    <row r="21" spans="1:4" ht="18.5" x14ac:dyDescent="0.45">
      <c r="A21" s="159">
        <v>18</v>
      </c>
      <c r="B21" s="152" t="s">
        <v>935</v>
      </c>
      <c r="C21" s="158" t="s">
        <v>290</v>
      </c>
      <c r="D21" s="153">
        <v>1112</v>
      </c>
    </row>
    <row r="22" spans="1:4" ht="18.5" x14ac:dyDescent="0.45">
      <c r="A22" s="159">
        <v>19</v>
      </c>
      <c r="B22" s="152" t="s">
        <v>935</v>
      </c>
      <c r="C22" s="158" t="s">
        <v>290</v>
      </c>
      <c r="D22" s="153">
        <v>1044</v>
      </c>
    </row>
    <row r="23" spans="1:4" ht="18.5" x14ac:dyDescent="0.45">
      <c r="A23" s="159">
        <v>20</v>
      </c>
      <c r="B23" s="152" t="s">
        <v>935</v>
      </c>
      <c r="C23" s="158" t="s">
        <v>290</v>
      </c>
      <c r="D23" s="153">
        <v>1067</v>
      </c>
    </row>
    <row r="24" spans="1:4" ht="18.5" x14ac:dyDescent="0.45">
      <c r="A24" s="159">
        <v>21</v>
      </c>
      <c r="B24" s="152" t="s">
        <v>935</v>
      </c>
      <c r="C24" s="158" t="s">
        <v>289</v>
      </c>
      <c r="D24" s="153">
        <v>1128</v>
      </c>
    </row>
    <row r="25" spans="1:4" ht="18.5" x14ac:dyDescent="0.45">
      <c r="A25" s="159">
        <v>21</v>
      </c>
      <c r="B25" s="152" t="s">
        <v>935</v>
      </c>
      <c r="C25" s="158" t="s">
        <v>289</v>
      </c>
      <c r="D25" s="153">
        <v>1139</v>
      </c>
    </row>
    <row r="26" spans="1:4" ht="18.5" x14ac:dyDescent="0.45">
      <c r="A26" s="159">
        <v>23</v>
      </c>
      <c r="B26" s="152" t="s">
        <v>935</v>
      </c>
      <c r="C26" s="158" t="s">
        <v>289</v>
      </c>
      <c r="D26" s="153">
        <v>1121</v>
      </c>
    </row>
    <row r="27" spans="1:4" ht="18.5" x14ac:dyDescent="0.45">
      <c r="A27" s="159">
        <v>24</v>
      </c>
      <c r="B27" s="152" t="s">
        <v>935</v>
      </c>
      <c r="C27" s="158" t="s">
        <v>289</v>
      </c>
      <c r="D27" s="153">
        <v>1040</v>
      </c>
    </row>
    <row r="28" spans="1:4" ht="18.5" x14ac:dyDescent="0.45">
      <c r="A28" s="159">
        <v>25</v>
      </c>
      <c r="B28" s="152" t="s">
        <v>935</v>
      </c>
      <c r="C28" s="158" t="s">
        <v>292</v>
      </c>
      <c r="D28" s="153">
        <v>1042</v>
      </c>
    </row>
    <row r="29" spans="1:4" ht="18.5" hidden="1" x14ac:dyDescent="0.45">
      <c r="A29" s="159">
        <v>26</v>
      </c>
      <c r="B29" s="152" t="s">
        <v>935</v>
      </c>
      <c r="C29" s="158" t="s">
        <v>292</v>
      </c>
      <c r="D29" s="153"/>
    </row>
    <row r="30" spans="1:4" ht="18.5" x14ac:dyDescent="0.45">
      <c r="A30" s="159">
        <v>27</v>
      </c>
      <c r="B30" s="152" t="s">
        <v>935</v>
      </c>
      <c r="C30" s="158" t="s">
        <v>292</v>
      </c>
      <c r="D30" s="153">
        <v>1050</v>
      </c>
    </row>
    <row r="31" spans="1:4" ht="18.5" x14ac:dyDescent="0.45">
      <c r="A31" s="159">
        <v>28</v>
      </c>
      <c r="B31" s="152" t="s">
        <v>935</v>
      </c>
      <c r="C31" s="158" t="s">
        <v>292</v>
      </c>
      <c r="D31" s="153">
        <v>1076</v>
      </c>
    </row>
    <row r="32" spans="1:4" ht="18.5" x14ac:dyDescent="0.45">
      <c r="A32" s="159">
        <v>29</v>
      </c>
      <c r="B32" s="152" t="s">
        <v>935</v>
      </c>
      <c r="C32" s="158" t="s">
        <v>291</v>
      </c>
      <c r="D32" s="153">
        <v>1116</v>
      </c>
    </row>
    <row r="33" spans="1:4" ht="18.5" x14ac:dyDescent="0.45">
      <c r="A33" s="159">
        <v>30</v>
      </c>
      <c r="B33" s="152" t="s">
        <v>935</v>
      </c>
      <c r="C33" s="158" t="s">
        <v>291</v>
      </c>
      <c r="D33" s="153">
        <v>1078</v>
      </c>
    </row>
    <row r="34" spans="1:4" ht="18.5" x14ac:dyDescent="0.45">
      <c r="A34" s="159">
        <v>31</v>
      </c>
      <c r="B34" s="152" t="s">
        <v>935</v>
      </c>
      <c r="C34" s="158" t="s">
        <v>291</v>
      </c>
      <c r="D34" s="153">
        <v>1104</v>
      </c>
    </row>
    <row r="35" spans="1:4" ht="18.5" x14ac:dyDescent="0.45">
      <c r="A35" s="157">
        <v>32</v>
      </c>
      <c r="B35" s="152" t="s">
        <v>935</v>
      </c>
      <c r="C35" s="155" t="s">
        <v>291</v>
      </c>
      <c r="D35" s="154">
        <v>1024</v>
      </c>
    </row>
  </sheetData>
  <conditionalFormatting sqref="C1:C35">
    <cfRule type="containsText" dxfId="7" priority="6" operator="containsText" text="Sto_WS_HS">
      <formula>NOT(ISERROR(SEARCH("Sto_WS_HS",C1)))</formula>
    </cfRule>
    <cfRule type="containsText" dxfId="6" priority="7" operator="containsText" text="Sto_WS_OT">
      <formula>NOT(ISERROR(SEARCH("Sto_WS_OT",C1)))</formula>
    </cfRule>
    <cfRule type="containsText" dxfId="5" priority="8" operator="containsText" text="Sto_WW_OT">
      <formula>NOT(ISERROR(SEARCH("Sto_WW_OT",C1)))</formula>
    </cfRule>
  </conditionalFormatting>
  <conditionalFormatting sqref="C1:C35">
    <cfRule type="containsText" dxfId="4" priority="3" operator="containsText" text="Wen_WS_HS">
      <formula>NOT(ISERROR(SEARCH("Wen_WS_HS",C1)))</formula>
    </cfRule>
    <cfRule type="containsText" dxfId="3" priority="4" operator="containsText" text="Wen_WS_OT">
      <formula>NOT(ISERROR(SEARCH("Wen_WS_OT",C1)))</formula>
    </cfRule>
    <cfRule type="containsText" dxfId="2" priority="5" operator="containsText" text="Wen_WW_OT">
      <formula>NOT(ISERROR(SEARCH("Wen_WW_OT",C1)))</formula>
    </cfRule>
  </conditionalFormatting>
  <conditionalFormatting sqref="C1:C35">
    <cfRule type="containsText" dxfId="1" priority="1" operator="containsText" text="Wen_WW_HS">
      <formula>NOT(ISERROR(SEARCH("Wen_WW_HS",C1)))</formula>
    </cfRule>
    <cfRule type="containsText" dxfId="0" priority="2" operator="containsText" text="Sto_WW_HS">
      <formula>NOT(ISERROR(SEARCH("Sto_WW_HS",C1)))</formula>
    </cfRule>
  </conditionalFormatting>
  <pageMargins left="0.7" right="0.7" top="0.75" bottom="0.75" header="0.3" footer="0.3"/>
  <pageSetup paperSize="9" orientation="portrait" r:id="rId1"/>
  <headerFooter>
    <oddHeader>&amp;C&amp;"-,Gras"&amp;16List Broyage rhizosphere soil&amp;Rprint : &amp;D</oddHeader>
    <oddFooter>&amp;R&amp;P/&amp;N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2</vt:i4>
      </vt:variant>
    </vt:vector>
  </HeadingPairs>
  <TitlesOfParts>
    <vt:vector size="16" baseType="lpstr">
      <vt:lpstr>infos</vt:lpstr>
      <vt:lpstr>BM_for_pool</vt:lpstr>
      <vt:lpstr>Feuil1</vt:lpstr>
      <vt:lpstr>list_exud_to_st_malo</vt:lpstr>
      <vt:lpstr>tabl_croisee_dynamique</vt:lpstr>
      <vt:lpstr>BM_pool_print</vt:lpstr>
      <vt:lpstr>BM</vt:lpstr>
      <vt:lpstr>ionomique</vt:lpstr>
      <vt:lpstr>Feuil2</vt:lpstr>
      <vt:lpstr>list_microbio_china</vt:lpstr>
      <vt:lpstr>rangement_boite_microbio</vt:lpstr>
      <vt:lpstr>microbio_contamination</vt:lpstr>
      <vt:lpstr>list_broyage_soil</vt:lpstr>
      <vt:lpstr>list_broyage_soil (2)</vt:lpstr>
      <vt:lpstr>Feuil1!Impression_des_titres</vt:lpstr>
      <vt:lpstr>ionomique!Impression_des_titres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 maslard</dc:creator>
  <cp:lastModifiedBy>corentin maslard</cp:lastModifiedBy>
  <cp:lastPrinted>2024-12-11T12:58:30Z</cp:lastPrinted>
  <dcterms:created xsi:type="dcterms:W3CDTF">2015-06-05T18:19:34Z</dcterms:created>
  <dcterms:modified xsi:type="dcterms:W3CDTF">2024-12-11T12:58:33Z</dcterms:modified>
</cp:coreProperties>
</file>